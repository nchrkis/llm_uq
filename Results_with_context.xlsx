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NIKOS\Downloads\"/>
    </mc:Choice>
  </mc:AlternateContent>
  <xr:revisionPtr revIDLastSave="0" documentId="13_ncr:1_{6D760DAE-58AA-49B3-B370-E92E70270EDA}" xr6:coauthVersionLast="47" xr6:coauthVersionMax="47" xr10:uidLastSave="{00000000-0000-0000-0000-000000000000}"/>
  <bookViews>
    <workbookView xWindow="2616" yWindow="2616" windowWidth="17280" windowHeight="9960" firstSheet="9" activeTab="12" xr2:uid="{00000000-000D-0000-FFFF-FFFF00000000}"/>
  </bookViews>
  <sheets>
    <sheet name="Actual" sheetId="1" r:id="rId1"/>
    <sheet name="Results" sheetId="2" r:id="rId2"/>
    <sheet name="prompt1" sheetId="3" r:id="rId3"/>
    <sheet name="prompt2" sheetId="4" r:id="rId4"/>
    <sheet name="prompt3" sheetId="5" r:id="rId5"/>
    <sheet name="prompt4" sheetId="6" r:id="rId6"/>
    <sheet name="prompt5" sheetId="7" r:id="rId7"/>
    <sheet name="classify1" sheetId="8" r:id="rId8"/>
    <sheet name="classify2" sheetId="9" r:id="rId9"/>
    <sheet name="classify3" sheetId="10" r:id="rId10"/>
    <sheet name="classify4" sheetId="11" r:id="rId11"/>
    <sheet name="classify5" sheetId="12" r:id="rId12"/>
    <sheet name="appendix" sheetId="13" r:id="rId13"/>
    <sheet name="Sheet1" sheetId="14" r:id="rId14"/>
    <sheet name="Sheet2" sheetId="15"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7" roundtripDataChecksum="Gs3g6uVijoDQyZcjaS336FN2cR4Ctg9ppZsIB1+mYXk="/>
    </ext>
  </extLst>
</workbook>
</file>

<file path=xl/calcChain.xml><?xml version="1.0" encoding="utf-8"?>
<calcChain xmlns="http://schemas.openxmlformats.org/spreadsheetml/2006/main">
  <c r="S66" i="2" l="1"/>
  <c r="R66" i="2"/>
  <c r="Q66" i="2"/>
  <c r="P66" i="2"/>
  <c r="O66" i="2"/>
  <c r="T66" i="2" s="1"/>
  <c r="N66" i="2"/>
  <c r="M66" i="2"/>
  <c r="G66" i="2"/>
  <c r="F66" i="2"/>
  <c r="E66" i="2"/>
  <c r="D66" i="2"/>
  <c r="I66" i="2" s="1"/>
  <c r="C66" i="2"/>
  <c r="B66" i="2"/>
  <c r="H66" i="2" s="1"/>
  <c r="T65" i="2"/>
  <c r="R65" i="2"/>
  <c r="Q65" i="2"/>
  <c r="P65" i="2"/>
  <c r="O65" i="2"/>
  <c r="N65" i="2"/>
  <c r="M65" i="2"/>
  <c r="S65" i="2" s="1"/>
  <c r="G65" i="2"/>
  <c r="F65" i="2"/>
  <c r="E65" i="2"/>
  <c r="D65" i="2"/>
  <c r="C65" i="2"/>
  <c r="I65" i="2" s="1"/>
  <c r="B65" i="2"/>
  <c r="H65" i="2" s="1"/>
  <c r="S64" i="2"/>
  <c r="R64" i="2"/>
  <c r="Q64" i="2"/>
  <c r="P64" i="2"/>
  <c r="O64" i="2"/>
  <c r="T64" i="2" s="1"/>
  <c r="N64" i="2"/>
  <c r="M64" i="2"/>
  <c r="H64" i="2"/>
  <c r="G64" i="2"/>
  <c r="F64" i="2"/>
  <c r="E64" i="2"/>
  <c r="D64" i="2"/>
  <c r="C64" i="2"/>
  <c r="I64" i="2" s="1"/>
  <c r="B64" i="2"/>
  <c r="R63" i="2"/>
  <c r="Q63" i="2"/>
  <c r="P63" i="2"/>
  <c r="O63" i="2"/>
  <c r="N63" i="2"/>
  <c r="T63" i="2" s="1"/>
  <c r="M63" i="2"/>
  <c r="S63" i="2" s="1"/>
  <c r="G63" i="2"/>
  <c r="F63" i="2"/>
  <c r="E63" i="2"/>
  <c r="D63" i="2"/>
  <c r="C63" i="2"/>
  <c r="I63" i="2" s="1"/>
  <c r="B63" i="2"/>
  <c r="R62" i="2"/>
  <c r="Q62" i="2"/>
  <c r="P62" i="2"/>
  <c r="O62" i="2"/>
  <c r="N62" i="2"/>
  <c r="T62" i="2" s="1"/>
  <c r="M62" i="2"/>
  <c r="G62" i="2"/>
  <c r="F62" i="2"/>
  <c r="E62" i="2"/>
  <c r="H62" i="2" s="1"/>
  <c r="D62" i="2"/>
  <c r="C62" i="2"/>
  <c r="B62" i="2"/>
  <c r="R61" i="2"/>
  <c r="Q61" i="2"/>
  <c r="P61" i="2"/>
  <c r="O61" i="2"/>
  <c r="N61" i="2"/>
  <c r="T61" i="2" s="1"/>
  <c r="M61" i="2"/>
  <c r="S61" i="2" s="1"/>
  <c r="G61" i="2"/>
  <c r="H61" i="2" s="1"/>
  <c r="F61" i="2"/>
  <c r="E61" i="2"/>
  <c r="D61" i="2"/>
  <c r="C61" i="2"/>
  <c r="I61" i="2" s="1"/>
  <c r="B61" i="2"/>
  <c r="R60" i="2"/>
  <c r="Q60" i="2"/>
  <c r="P60" i="2"/>
  <c r="O60" i="2"/>
  <c r="N60" i="2"/>
  <c r="T60" i="2" s="1"/>
  <c r="M60" i="2"/>
  <c r="S60" i="2" s="1"/>
  <c r="I60" i="2"/>
  <c r="G60" i="2"/>
  <c r="F60" i="2"/>
  <c r="E60" i="2"/>
  <c r="D60" i="2"/>
  <c r="C60" i="2"/>
  <c r="B60" i="2"/>
  <c r="H60" i="2" s="1"/>
  <c r="R59" i="2"/>
  <c r="Q59" i="2"/>
  <c r="P59" i="2"/>
  <c r="T59" i="2" s="1"/>
  <c r="O59" i="2"/>
  <c r="N59" i="2"/>
  <c r="M59" i="2"/>
  <c r="S59" i="2" s="1"/>
  <c r="G59" i="2"/>
  <c r="F59" i="2"/>
  <c r="E59" i="2"/>
  <c r="D59" i="2"/>
  <c r="C59" i="2"/>
  <c r="I59" i="2" s="1"/>
  <c r="B59" i="2"/>
  <c r="H59" i="2" s="1"/>
  <c r="R58" i="2"/>
  <c r="Q58" i="2"/>
  <c r="P58" i="2"/>
  <c r="O58" i="2"/>
  <c r="S58" i="2" s="1"/>
  <c r="N58" i="2"/>
  <c r="M58" i="2"/>
  <c r="G58" i="2"/>
  <c r="F58" i="2"/>
  <c r="E58" i="2"/>
  <c r="D58" i="2"/>
  <c r="I58" i="2" s="1"/>
  <c r="C58" i="2"/>
  <c r="B58" i="2"/>
  <c r="H58" i="2" s="1"/>
  <c r="R57" i="2"/>
  <c r="Q57" i="2"/>
  <c r="T57" i="2" s="1"/>
  <c r="P57" i="2"/>
  <c r="O57" i="2"/>
  <c r="N57" i="2"/>
  <c r="M57" i="2"/>
  <c r="S57" i="2" s="1"/>
  <c r="G57" i="2"/>
  <c r="F57" i="2"/>
  <c r="E57" i="2"/>
  <c r="D57" i="2"/>
  <c r="C57" i="2"/>
  <c r="I57" i="2" s="1"/>
  <c r="B57" i="2"/>
  <c r="H57" i="2" s="1"/>
  <c r="S56" i="2"/>
  <c r="R56" i="2"/>
  <c r="Q56" i="2"/>
  <c r="P56" i="2"/>
  <c r="O56" i="2"/>
  <c r="T56" i="2" s="1"/>
  <c r="N56" i="2"/>
  <c r="M56" i="2"/>
  <c r="H56" i="2"/>
  <c r="G56" i="2"/>
  <c r="F56" i="2"/>
  <c r="E56" i="2"/>
  <c r="D56" i="2"/>
  <c r="I56" i="2" s="1"/>
  <c r="C56" i="2"/>
  <c r="B56" i="2"/>
  <c r="R55" i="2"/>
  <c r="Q55" i="2"/>
  <c r="P55" i="2"/>
  <c r="O55" i="2"/>
  <c r="N55" i="2"/>
  <c r="T55" i="2" s="1"/>
  <c r="M55" i="2"/>
  <c r="S55" i="2" s="1"/>
  <c r="G55" i="2"/>
  <c r="F55" i="2"/>
  <c r="E55" i="2"/>
  <c r="D55" i="2"/>
  <c r="C55" i="2"/>
  <c r="I55" i="2" s="1"/>
  <c r="B55" i="2"/>
  <c r="R54" i="2"/>
  <c r="Q54" i="2"/>
  <c r="P54" i="2"/>
  <c r="O54" i="2"/>
  <c r="N54" i="2"/>
  <c r="S54" i="2" s="1"/>
  <c r="M54" i="2"/>
  <c r="G54" i="2"/>
  <c r="F54" i="2"/>
  <c r="E54" i="2"/>
  <c r="I54" i="2" s="1"/>
  <c r="D54" i="2"/>
  <c r="C54" i="2"/>
  <c r="B54" i="2"/>
  <c r="R53" i="2"/>
  <c r="Q53" i="2"/>
  <c r="P53" i="2"/>
  <c r="O53" i="2"/>
  <c r="N53" i="2"/>
  <c r="T53" i="2" s="1"/>
  <c r="M53" i="2"/>
  <c r="S53" i="2" s="1"/>
  <c r="H53" i="2"/>
  <c r="G53" i="2"/>
  <c r="F53" i="2"/>
  <c r="E53" i="2"/>
  <c r="D53" i="2"/>
  <c r="C53" i="2"/>
  <c r="I53" i="2" s="1"/>
  <c r="B53" i="2"/>
  <c r="R52" i="2"/>
  <c r="Q52" i="2"/>
  <c r="P52" i="2"/>
  <c r="O52" i="2"/>
  <c r="N52" i="2"/>
  <c r="T52" i="2" s="1"/>
  <c r="M52" i="2"/>
  <c r="I52" i="2"/>
  <c r="G52" i="2"/>
  <c r="F52" i="2"/>
  <c r="E52" i="2"/>
  <c r="D52" i="2"/>
  <c r="C52" i="2"/>
  <c r="B52" i="2"/>
  <c r="H52" i="2" s="1"/>
  <c r="R51" i="2"/>
  <c r="Q51" i="2"/>
  <c r="P51" i="2"/>
  <c r="O51" i="2"/>
  <c r="N51" i="2"/>
  <c r="T51" i="2" s="1"/>
  <c r="M51" i="2"/>
  <c r="S51" i="2" s="1"/>
  <c r="G51" i="2"/>
  <c r="F51" i="2"/>
  <c r="E51" i="2"/>
  <c r="D51" i="2"/>
  <c r="C51" i="2"/>
  <c r="I51" i="2" s="1"/>
  <c r="B51" i="2"/>
  <c r="H51" i="2" s="1"/>
  <c r="R50" i="2"/>
  <c r="Q50" i="2"/>
  <c r="P50" i="2"/>
  <c r="O50" i="2"/>
  <c r="T50" i="2" s="1"/>
  <c r="N50" i="2"/>
  <c r="M50" i="2"/>
  <c r="G50" i="2"/>
  <c r="F50" i="2"/>
  <c r="E50" i="2"/>
  <c r="D50" i="2"/>
  <c r="I50" i="2" s="1"/>
  <c r="C50" i="2"/>
  <c r="B50" i="2"/>
  <c r="H50" i="2" s="1"/>
  <c r="R49" i="2"/>
  <c r="Q49" i="2"/>
  <c r="T49" i="2" s="1"/>
  <c r="P49" i="2"/>
  <c r="O49" i="2"/>
  <c r="N49" i="2"/>
  <c r="M49" i="2"/>
  <c r="S49" i="2" s="1"/>
  <c r="G49" i="2"/>
  <c r="F49" i="2"/>
  <c r="E49" i="2"/>
  <c r="D49" i="2"/>
  <c r="C49" i="2"/>
  <c r="I49" i="2" s="1"/>
  <c r="B49" i="2"/>
  <c r="H49" i="2" s="1"/>
  <c r="T48" i="2"/>
  <c r="S48" i="2"/>
  <c r="R48" i="2"/>
  <c r="Q48" i="2"/>
  <c r="P48" i="2"/>
  <c r="O48" i="2"/>
  <c r="N48" i="2"/>
  <c r="M48" i="2"/>
  <c r="G48" i="2"/>
  <c r="F48" i="2"/>
  <c r="E48" i="2"/>
  <c r="D48" i="2"/>
  <c r="I48" i="2" s="1"/>
  <c r="C48" i="2"/>
  <c r="B48" i="2"/>
  <c r="H48" i="2" s="1"/>
  <c r="R47" i="2"/>
  <c r="Q47" i="2"/>
  <c r="P47" i="2"/>
  <c r="O47" i="2"/>
  <c r="N47" i="2"/>
  <c r="T47" i="2" s="1"/>
  <c r="M47" i="2"/>
  <c r="S47" i="2" s="1"/>
  <c r="G47" i="2"/>
  <c r="F47" i="2"/>
  <c r="E47" i="2"/>
  <c r="D47" i="2"/>
  <c r="C47" i="2"/>
  <c r="I47" i="2" s="1"/>
  <c r="B47" i="2"/>
  <c r="R46" i="2"/>
  <c r="Q46" i="2"/>
  <c r="P46" i="2"/>
  <c r="O46" i="2"/>
  <c r="N46" i="2"/>
  <c r="S46" i="2" s="1"/>
  <c r="M46" i="2"/>
  <c r="G46" i="2"/>
  <c r="F46" i="2"/>
  <c r="E46" i="2"/>
  <c r="H46" i="2" s="1"/>
  <c r="D46" i="2"/>
  <c r="C46" i="2"/>
  <c r="B46" i="2"/>
  <c r="R45" i="2"/>
  <c r="Q45" i="2"/>
  <c r="P45" i="2"/>
  <c r="O45" i="2"/>
  <c r="N45" i="2"/>
  <c r="T45" i="2" s="1"/>
  <c r="M45" i="2"/>
  <c r="S45" i="2" s="1"/>
  <c r="G45" i="2"/>
  <c r="H45" i="2" s="1"/>
  <c r="F45" i="2"/>
  <c r="E45" i="2"/>
  <c r="D45" i="2"/>
  <c r="C45" i="2"/>
  <c r="I45" i="2" s="1"/>
  <c r="B45" i="2"/>
  <c r="R44" i="2"/>
  <c r="Q44" i="2"/>
  <c r="P44" i="2"/>
  <c r="O44" i="2"/>
  <c r="N44" i="2"/>
  <c r="T44" i="2" s="1"/>
  <c r="M44" i="2"/>
  <c r="I44" i="2"/>
  <c r="G44" i="2"/>
  <c r="F44" i="2"/>
  <c r="E44" i="2"/>
  <c r="D44" i="2"/>
  <c r="C44" i="2"/>
  <c r="B44" i="2"/>
  <c r="H44" i="2" s="1"/>
  <c r="R43" i="2"/>
  <c r="Q43" i="2"/>
  <c r="P43" i="2"/>
  <c r="O43" i="2"/>
  <c r="N43" i="2"/>
  <c r="T43" i="2" s="1"/>
  <c r="M43" i="2"/>
  <c r="S43" i="2" s="1"/>
  <c r="G43" i="2"/>
  <c r="F43" i="2"/>
  <c r="E43" i="2"/>
  <c r="D43" i="2"/>
  <c r="C43" i="2"/>
  <c r="I43" i="2" s="1"/>
  <c r="B43" i="2"/>
  <c r="H43" i="2" s="1"/>
  <c r="R42" i="2"/>
  <c r="Q42" i="2"/>
  <c r="P42" i="2"/>
  <c r="O42" i="2"/>
  <c r="S42" i="2" s="1"/>
  <c r="N42" i="2"/>
  <c r="M42" i="2"/>
  <c r="G42" i="2"/>
  <c r="F42" i="2"/>
  <c r="E42" i="2"/>
  <c r="D42" i="2"/>
  <c r="I42" i="2" s="1"/>
  <c r="C42" i="2"/>
  <c r="B42" i="2"/>
  <c r="H42" i="2" s="1"/>
  <c r="R41" i="2"/>
  <c r="Q41" i="2"/>
  <c r="T41" i="2" s="1"/>
  <c r="P41" i="2"/>
  <c r="O41" i="2"/>
  <c r="N41" i="2"/>
  <c r="M41" i="2"/>
  <c r="S41" i="2" s="1"/>
  <c r="G41" i="2"/>
  <c r="F41" i="2"/>
  <c r="E41" i="2"/>
  <c r="D41" i="2"/>
  <c r="C41" i="2"/>
  <c r="I41" i="2" s="1"/>
  <c r="B41" i="2"/>
  <c r="H41" i="2" s="1"/>
  <c r="T40" i="2"/>
  <c r="S40" i="2"/>
  <c r="R40" i="2"/>
  <c r="Q40" i="2"/>
  <c r="P40" i="2"/>
  <c r="O40" i="2"/>
  <c r="N40" i="2"/>
  <c r="M40" i="2"/>
  <c r="G40" i="2"/>
  <c r="F40" i="2"/>
  <c r="E40" i="2"/>
  <c r="D40" i="2"/>
  <c r="I40" i="2" s="1"/>
  <c r="C40" i="2"/>
  <c r="B40" i="2"/>
  <c r="H40" i="2" s="1"/>
  <c r="R39" i="2"/>
  <c r="Q39" i="2"/>
  <c r="P39" i="2"/>
  <c r="O39" i="2"/>
  <c r="N39" i="2"/>
  <c r="T39" i="2" s="1"/>
  <c r="M39" i="2"/>
  <c r="S39" i="2" s="1"/>
  <c r="G39" i="2"/>
  <c r="F39" i="2"/>
  <c r="E39" i="2"/>
  <c r="D39" i="2"/>
  <c r="C39" i="2"/>
  <c r="I39" i="2" s="1"/>
  <c r="B39" i="2"/>
  <c r="R38" i="2"/>
  <c r="Q38" i="2"/>
  <c r="P38" i="2"/>
  <c r="O38" i="2"/>
  <c r="N38" i="2"/>
  <c r="S38" i="2" s="1"/>
  <c r="M38" i="2"/>
  <c r="G38" i="2"/>
  <c r="F38" i="2"/>
  <c r="E38" i="2"/>
  <c r="H38" i="2" s="1"/>
  <c r="D38" i="2"/>
  <c r="C38" i="2"/>
  <c r="B38" i="2"/>
  <c r="R37" i="2"/>
  <c r="Q37" i="2"/>
  <c r="P37" i="2"/>
  <c r="O37" i="2"/>
  <c r="N37" i="2"/>
  <c r="T37" i="2" s="1"/>
  <c r="M37" i="2"/>
  <c r="S37" i="2" s="1"/>
  <c r="G37" i="2"/>
  <c r="H37" i="2" s="1"/>
  <c r="F37" i="2"/>
  <c r="E37" i="2"/>
  <c r="D37" i="2"/>
  <c r="C37" i="2"/>
  <c r="I37" i="2" s="1"/>
  <c r="B37" i="2"/>
  <c r="R36" i="2"/>
  <c r="Q36" i="2"/>
  <c r="P36" i="2"/>
  <c r="O36" i="2"/>
  <c r="N36" i="2"/>
  <c r="T36" i="2" s="1"/>
  <c r="M36" i="2"/>
  <c r="I36" i="2"/>
  <c r="G36" i="2"/>
  <c r="F36" i="2"/>
  <c r="E36" i="2"/>
  <c r="D36" i="2"/>
  <c r="C36" i="2"/>
  <c r="B36" i="2"/>
  <c r="H36" i="2" s="1"/>
  <c r="R35" i="2"/>
  <c r="Q35" i="2"/>
  <c r="P35" i="2"/>
  <c r="O35" i="2"/>
  <c r="N35" i="2"/>
  <c r="T35" i="2" s="1"/>
  <c r="M35" i="2"/>
  <c r="S35" i="2" s="1"/>
  <c r="G35" i="2"/>
  <c r="F35" i="2"/>
  <c r="E35" i="2"/>
  <c r="D35" i="2"/>
  <c r="C35" i="2"/>
  <c r="I35" i="2" s="1"/>
  <c r="B35" i="2"/>
  <c r="H35" i="2" s="1"/>
  <c r="R34" i="2"/>
  <c r="Q34" i="2"/>
  <c r="P34" i="2"/>
  <c r="O34" i="2"/>
  <c r="T34" i="2" s="1"/>
  <c r="N34" i="2"/>
  <c r="M34" i="2"/>
  <c r="G34" i="2"/>
  <c r="F34" i="2"/>
  <c r="E34" i="2"/>
  <c r="D34" i="2"/>
  <c r="I34" i="2" s="1"/>
  <c r="C34" i="2"/>
  <c r="B34" i="2"/>
  <c r="H34" i="2" s="1"/>
  <c r="R33" i="2"/>
  <c r="Q33" i="2"/>
  <c r="T33" i="2" s="1"/>
  <c r="P33" i="2"/>
  <c r="O33" i="2"/>
  <c r="N33" i="2"/>
  <c r="M33" i="2"/>
  <c r="S33" i="2" s="1"/>
  <c r="G33" i="2"/>
  <c r="F33" i="2"/>
  <c r="E33" i="2"/>
  <c r="D33" i="2"/>
  <c r="C33" i="2"/>
  <c r="I33" i="2" s="1"/>
  <c r="B33" i="2"/>
  <c r="H33" i="2" s="1"/>
  <c r="T32" i="2"/>
  <c r="S32" i="2"/>
  <c r="R32" i="2"/>
  <c r="Q32" i="2"/>
  <c r="P32" i="2"/>
  <c r="O32" i="2"/>
  <c r="N32" i="2"/>
  <c r="M32" i="2"/>
  <c r="G32" i="2"/>
  <c r="F32" i="2"/>
  <c r="E32" i="2"/>
  <c r="D32" i="2"/>
  <c r="I32" i="2" s="1"/>
  <c r="C32" i="2"/>
  <c r="B32" i="2"/>
  <c r="H32" i="2" s="1"/>
  <c r="R31" i="2"/>
  <c r="Q31" i="2"/>
  <c r="P31" i="2"/>
  <c r="O31" i="2"/>
  <c r="N31" i="2"/>
  <c r="T31" i="2" s="1"/>
  <c r="M31" i="2"/>
  <c r="S31" i="2" s="1"/>
  <c r="G31" i="2"/>
  <c r="F31" i="2"/>
  <c r="E31" i="2"/>
  <c r="D31" i="2"/>
  <c r="C31" i="2"/>
  <c r="I31" i="2" s="1"/>
  <c r="B31" i="2"/>
  <c r="R30" i="2"/>
  <c r="Q30" i="2"/>
  <c r="P30" i="2"/>
  <c r="O30" i="2"/>
  <c r="N30" i="2"/>
  <c r="S30" i="2" s="1"/>
  <c r="M30" i="2"/>
  <c r="G30" i="2"/>
  <c r="F30" i="2"/>
  <c r="E30" i="2"/>
  <c r="I30" i="2" s="1"/>
  <c r="D30" i="2"/>
  <c r="C30" i="2"/>
  <c r="B30" i="2"/>
  <c r="R29" i="2"/>
  <c r="Q29" i="2"/>
  <c r="P29" i="2"/>
  <c r="O29" i="2"/>
  <c r="N29" i="2"/>
  <c r="T29" i="2" s="1"/>
  <c r="M29" i="2"/>
  <c r="S29" i="2" s="1"/>
  <c r="G29" i="2"/>
  <c r="H29" i="2" s="1"/>
  <c r="F29" i="2"/>
  <c r="E29" i="2"/>
  <c r="D29" i="2"/>
  <c r="C29" i="2"/>
  <c r="I29" i="2" s="1"/>
  <c r="B29" i="2"/>
  <c r="R28" i="2"/>
  <c r="Q28" i="2"/>
  <c r="P28" i="2"/>
  <c r="O28" i="2"/>
  <c r="N28" i="2"/>
  <c r="S28" i="2" s="1"/>
  <c r="M28" i="2"/>
  <c r="I28" i="2"/>
  <c r="G28" i="2"/>
  <c r="F28" i="2"/>
  <c r="E28" i="2"/>
  <c r="D28" i="2"/>
  <c r="C28" i="2"/>
  <c r="B28" i="2"/>
  <c r="H28" i="2" s="1"/>
  <c r="R27" i="2"/>
  <c r="Q27" i="2"/>
  <c r="P27" i="2"/>
  <c r="O27" i="2"/>
  <c r="N27" i="2"/>
  <c r="T27" i="2" s="1"/>
  <c r="M27" i="2"/>
  <c r="S27" i="2" s="1"/>
  <c r="G27" i="2"/>
  <c r="F27" i="2"/>
  <c r="E27" i="2"/>
  <c r="D27" i="2"/>
  <c r="C27" i="2"/>
  <c r="I27" i="2" s="1"/>
  <c r="B27" i="2"/>
  <c r="H27" i="2" s="1"/>
  <c r="R26" i="2"/>
  <c r="Q26" i="2"/>
  <c r="P26" i="2"/>
  <c r="O26" i="2"/>
  <c r="S26" i="2" s="1"/>
  <c r="N26" i="2"/>
  <c r="M26" i="2"/>
  <c r="G26" i="2"/>
  <c r="F26" i="2"/>
  <c r="E26" i="2"/>
  <c r="D26" i="2"/>
  <c r="I26" i="2" s="1"/>
  <c r="C26" i="2"/>
  <c r="B26" i="2"/>
  <c r="H26" i="2" s="1"/>
  <c r="R25" i="2"/>
  <c r="Q25" i="2"/>
  <c r="T25" i="2" s="1"/>
  <c r="P25" i="2"/>
  <c r="O25" i="2"/>
  <c r="N25" i="2"/>
  <c r="M25" i="2"/>
  <c r="S25" i="2" s="1"/>
  <c r="G25" i="2"/>
  <c r="F25" i="2"/>
  <c r="E25" i="2"/>
  <c r="D25" i="2"/>
  <c r="C25" i="2"/>
  <c r="I25" i="2" s="1"/>
  <c r="B25" i="2"/>
  <c r="H25" i="2" s="1"/>
  <c r="T24" i="2"/>
  <c r="S24" i="2"/>
  <c r="R24" i="2"/>
  <c r="Q24" i="2"/>
  <c r="P24" i="2"/>
  <c r="O24" i="2"/>
  <c r="N24" i="2"/>
  <c r="M24" i="2"/>
  <c r="G24" i="2"/>
  <c r="F24" i="2"/>
  <c r="E24" i="2"/>
  <c r="D24" i="2"/>
  <c r="I24" i="2" s="1"/>
  <c r="C24" i="2"/>
  <c r="B24" i="2"/>
  <c r="H24" i="2" s="1"/>
  <c r="R23" i="2"/>
  <c r="Q23" i="2"/>
  <c r="P23" i="2"/>
  <c r="O23" i="2"/>
  <c r="N23" i="2"/>
  <c r="T23" i="2" s="1"/>
  <c r="M23" i="2"/>
  <c r="S23" i="2" s="1"/>
  <c r="G23" i="2"/>
  <c r="F23" i="2"/>
  <c r="E23" i="2"/>
  <c r="D23" i="2"/>
  <c r="C23" i="2"/>
  <c r="I23" i="2" s="1"/>
  <c r="B23" i="2"/>
  <c r="R22" i="2"/>
  <c r="Q22" i="2"/>
  <c r="P22" i="2"/>
  <c r="O22" i="2"/>
  <c r="N22" i="2"/>
  <c r="S22" i="2" s="1"/>
  <c r="M22" i="2"/>
  <c r="G22" i="2"/>
  <c r="F22" i="2"/>
  <c r="E22" i="2"/>
  <c r="H22" i="2" s="1"/>
  <c r="D22" i="2"/>
  <c r="C22" i="2"/>
  <c r="B22" i="2"/>
  <c r="R21" i="2"/>
  <c r="Q21" i="2"/>
  <c r="P21" i="2"/>
  <c r="O21" i="2"/>
  <c r="N21" i="2"/>
  <c r="T21" i="2" s="1"/>
  <c r="M21" i="2"/>
  <c r="S21" i="2" s="1"/>
  <c r="G21" i="2"/>
  <c r="H21" i="2" s="1"/>
  <c r="F21" i="2"/>
  <c r="E21" i="2"/>
  <c r="D21" i="2"/>
  <c r="C21" i="2"/>
  <c r="I21" i="2" s="1"/>
  <c r="B21" i="2"/>
  <c r="R20" i="2"/>
  <c r="Q20" i="2"/>
  <c r="P20" i="2"/>
  <c r="O20" i="2"/>
  <c r="N20" i="2"/>
  <c r="S20" i="2" s="1"/>
  <c r="M20" i="2"/>
  <c r="I20" i="2"/>
  <c r="G20" i="2"/>
  <c r="F20" i="2"/>
  <c r="E20" i="2"/>
  <c r="D20" i="2"/>
  <c r="C20" i="2"/>
  <c r="B20" i="2"/>
  <c r="H20" i="2" s="1"/>
  <c r="R19" i="2"/>
  <c r="Q19" i="2"/>
  <c r="P19" i="2"/>
  <c r="O19" i="2"/>
  <c r="N19" i="2"/>
  <c r="T19" i="2" s="1"/>
  <c r="M19" i="2"/>
  <c r="S19" i="2" s="1"/>
  <c r="G19" i="2"/>
  <c r="F19" i="2"/>
  <c r="E19" i="2"/>
  <c r="D19" i="2"/>
  <c r="C19" i="2"/>
  <c r="I19" i="2" s="1"/>
  <c r="B19" i="2"/>
  <c r="H19" i="2" s="1"/>
  <c r="R18" i="2"/>
  <c r="Q18" i="2"/>
  <c r="P18" i="2"/>
  <c r="O18" i="2"/>
  <c r="S18" i="2" s="1"/>
  <c r="N18" i="2"/>
  <c r="M18" i="2"/>
  <c r="G18" i="2"/>
  <c r="F18" i="2"/>
  <c r="E18" i="2"/>
  <c r="D18" i="2"/>
  <c r="I18" i="2" s="1"/>
  <c r="C18" i="2"/>
  <c r="B18" i="2"/>
  <c r="H18" i="2" s="1"/>
  <c r="R17" i="2"/>
  <c r="Q17" i="2"/>
  <c r="T17" i="2" s="1"/>
  <c r="P17" i="2"/>
  <c r="O17" i="2"/>
  <c r="N17" i="2"/>
  <c r="M17" i="2"/>
  <c r="S17" i="2" s="1"/>
  <c r="G17" i="2"/>
  <c r="F17" i="2"/>
  <c r="E17" i="2"/>
  <c r="D17" i="2"/>
  <c r="C17" i="2"/>
  <c r="I17" i="2" s="1"/>
  <c r="B17" i="2"/>
  <c r="H17" i="2" s="1"/>
  <c r="T16" i="2"/>
  <c r="S16" i="2"/>
  <c r="R16" i="2"/>
  <c r="Q16" i="2"/>
  <c r="P16" i="2"/>
  <c r="O16" i="2"/>
  <c r="N16" i="2"/>
  <c r="M16" i="2"/>
  <c r="G16" i="2"/>
  <c r="F16" i="2"/>
  <c r="E16" i="2"/>
  <c r="D16" i="2"/>
  <c r="I16" i="2" s="1"/>
  <c r="C16" i="2"/>
  <c r="B16" i="2"/>
  <c r="H16" i="2" s="1"/>
  <c r="R15" i="2"/>
  <c r="Q15" i="2"/>
  <c r="P15" i="2"/>
  <c r="O15" i="2"/>
  <c r="N15" i="2"/>
  <c r="T15" i="2" s="1"/>
  <c r="M15" i="2"/>
  <c r="S15" i="2" s="1"/>
  <c r="G15" i="2"/>
  <c r="F15" i="2"/>
  <c r="E15" i="2"/>
  <c r="D15" i="2"/>
  <c r="C15" i="2"/>
  <c r="I15" i="2" s="1"/>
  <c r="B15" i="2"/>
  <c r="R14" i="2"/>
  <c r="Q14" i="2"/>
  <c r="P14" i="2"/>
  <c r="O14" i="2"/>
  <c r="N14" i="2"/>
  <c r="S14" i="2" s="1"/>
  <c r="M14" i="2"/>
  <c r="G14" i="2"/>
  <c r="F14" i="2"/>
  <c r="E14" i="2"/>
  <c r="I14" i="2" s="1"/>
  <c r="D14" i="2"/>
  <c r="C14" i="2"/>
  <c r="B14" i="2"/>
  <c r="R13" i="2"/>
  <c r="Q13" i="2"/>
  <c r="P13" i="2"/>
  <c r="O13" i="2"/>
  <c r="N13" i="2"/>
  <c r="T13" i="2" s="1"/>
  <c r="M13" i="2"/>
  <c r="S13" i="2" s="1"/>
  <c r="G13" i="2"/>
  <c r="H13" i="2" s="1"/>
  <c r="F13" i="2"/>
  <c r="E13" i="2"/>
  <c r="D13" i="2"/>
  <c r="C13" i="2"/>
  <c r="I13" i="2" s="1"/>
  <c r="B13" i="2"/>
  <c r="R12" i="2"/>
  <c r="Q12" i="2"/>
  <c r="P12" i="2"/>
  <c r="O12" i="2"/>
  <c r="N12" i="2"/>
  <c r="S12" i="2" s="1"/>
  <c r="M12" i="2"/>
  <c r="I12" i="2"/>
  <c r="G12" i="2"/>
  <c r="F12" i="2"/>
  <c r="E12" i="2"/>
  <c r="D12" i="2"/>
  <c r="C12" i="2"/>
  <c r="B12" i="2"/>
  <c r="H12" i="2" s="1"/>
  <c r="R11" i="2"/>
  <c r="Q11" i="2"/>
  <c r="P11" i="2"/>
  <c r="O11" i="2"/>
  <c r="N11" i="2"/>
  <c r="T11" i="2" s="1"/>
  <c r="M11" i="2"/>
  <c r="S11" i="2" s="1"/>
  <c r="G11" i="2"/>
  <c r="F11" i="2"/>
  <c r="E11" i="2"/>
  <c r="D11" i="2"/>
  <c r="C11" i="2"/>
  <c r="I11" i="2" s="1"/>
  <c r="B11" i="2"/>
  <c r="H11" i="2" s="1"/>
  <c r="R10" i="2"/>
  <c r="Q10" i="2"/>
  <c r="P10" i="2"/>
  <c r="O10" i="2"/>
  <c r="S10" i="2" s="1"/>
  <c r="N10" i="2"/>
  <c r="M10" i="2"/>
  <c r="G10" i="2"/>
  <c r="F10" i="2"/>
  <c r="E10" i="2"/>
  <c r="D10" i="2"/>
  <c r="I10" i="2" s="1"/>
  <c r="C10" i="2"/>
  <c r="B10" i="2"/>
  <c r="H10" i="2" s="1"/>
  <c r="R9" i="2"/>
  <c r="Q9" i="2"/>
  <c r="T9" i="2" s="1"/>
  <c r="P9" i="2"/>
  <c r="O9" i="2"/>
  <c r="N9" i="2"/>
  <c r="M9" i="2"/>
  <c r="S9" i="2" s="1"/>
  <c r="G9" i="2"/>
  <c r="F9" i="2"/>
  <c r="E9" i="2"/>
  <c r="D9" i="2"/>
  <c r="C9" i="2"/>
  <c r="I9" i="2" s="1"/>
  <c r="B9" i="2"/>
  <c r="H9" i="2" s="1"/>
  <c r="T8" i="2"/>
  <c r="S8" i="2"/>
  <c r="R8" i="2"/>
  <c r="Q8" i="2"/>
  <c r="P8" i="2"/>
  <c r="O8" i="2"/>
  <c r="N8" i="2"/>
  <c r="M8" i="2"/>
  <c r="G8" i="2"/>
  <c r="F8" i="2"/>
  <c r="E8" i="2"/>
  <c r="D8" i="2"/>
  <c r="I8" i="2" s="1"/>
  <c r="C8" i="2"/>
  <c r="B8" i="2"/>
  <c r="H8" i="2" s="1"/>
  <c r="R7" i="2"/>
  <c r="Q7" i="2"/>
  <c r="P7" i="2"/>
  <c r="O7" i="2"/>
  <c r="N7" i="2"/>
  <c r="T7" i="2" s="1"/>
  <c r="M7" i="2"/>
  <c r="S7" i="2" s="1"/>
  <c r="G7" i="2"/>
  <c r="F7" i="2"/>
  <c r="E7" i="2"/>
  <c r="D7" i="2"/>
  <c r="C7" i="2"/>
  <c r="C67" i="2" s="1" a="1"/>
  <c r="C67" i="2" s="1"/>
  <c r="B7" i="2"/>
  <c r="R6" i="2"/>
  <c r="Q6" i="2"/>
  <c r="P6" i="2"/>
  <c r="O6" i="2"/>
  <c r="N6" i="2"/>
  <c r="S6" i="2" s="1"/>
  <c r="M6" i="2"/>
  <c r="G6" i="2"/>
  <c r="F6" i="2"/>
  <c r="E6" i="2"/>
  <c r="I6" i="2" s="1"/>
  <c r="D6" i="2"/>
  <c r="C6" i="2"/>
  <c r="B6" i="2"/>
  <c r="A6" i="2"/>
  <c r="A7" i="2" s="1"/>
  <c r="A8" i="2" s="1"/>
  <c r="A9" i="2" s="1"/>
  <c r="A10" i="2" s="1"/>
  <c r="A11" i="2" s="1"/>
  <c r="A12" i="2" s="1"/>
  <c r="A13" i="2" s="1"/>
  <c r="A14" i="2" s="1"/>
  <c r="A15" i="2" s="1"/>
  <c r="A16" i="2" s="1"/>
  <c r="A17" i="2" s="1"/>
  <c r="A18" i="2" s="1"/>
  <c r="A19" i="2" s="1"/>
  <c r="A20" i="2" s="1"/>
  <c r="A21" i="2" s="1"/>
  <c r="A22" i="2" s="1"/>
  <c r="A23" i="2" s="1"/>
  <c r="A24" i="2" s="1"/>
  <c r="A25" i="2" s="1"/>
  <c r="A26" i="2" s="1"/>
  <c r="A27" i="2" s="1"/>
  <c r="A28" i="2" s="1"/>
  <c r="A29" i="2" s="1"/>
  <c r="A30" i="2" s="1"/>
  <c r="A31" i="2" s="1"/>
  <c r="A32" i="2" s="1"/>
  <c r="A33" i="2" s="1"/>
  <c r="A34" i="2" s="1"/>
  <c r="A35" i="2" s="1"/>
  <c r="A36" i="2" s="1"/>
  <c r="A37" i="2" s="1"/>
  <c r="A38" i="2" s="1"/>
  <c r="A39" i="2" s="1"/>
  <c r="A40" i="2" s="1"/>
  <c r="A41" i="2" s="1"/>
  <c r="A42" i="2" s="1"/>
  <c r="A43" i="2" s="1"/>
  <c r="A44" i="2" s="1"/>
  <c r="A45" i="2" s="1"/>
  <c r="A46" i="2" s="1"/>
  <c r="A47" i="2" s="1"/>
  <c r="A48" i="2" s="1"/>
  <c r="A49" i="2" s="1"/>
  <c r="A50" i="2" s="1"/>
  <c r="A51" i="2" s="1"/>
  <c r="A52" i="2" s="1"/>
  <c r="A53" i="2" s="1"/>
  <c r="A54" i="2" s="1"/>
  <c r="A55" i="2" s="1"/>
  <c r="A56" i="2" s="1"/>
  <c r="A57" i="2" s="1"/>
  <c r="A58" i="2" s="1"/>
  <c r="A59" i="2" s="1"/>
  <c r="A60" i="2" s="1"/>
  <c r="A61" i="2" s="1"/>
  <c r="A62" i="2" s="1"/>
  <c r="A63" i="2" s="1"/>
  <c r="A64" i="2" s="1"/>
  <c r="A65" i="2" s="1"/>
  <c r="A66" i="2" s="1"/>
  <c r="R5" i="2"/>
  <c r="Q5" i="2"/>
  <c r="P5" i="2"/>
  <c r="O5" i="2"/>
  <c r="N5" i="2"/>
  <c r="T5" i="2" s="1"/>
  <c r="M5" i="2"/>
  <c r="S5" i="2" s="1"/>
  <c r="L5" i="2"/>
  <c r="L6" i="2" s="1"/>
  <c r="L7" i="2" s="1"/>
  <c r="L8" i="2" s="1"/>
  <c r="L9" i="2" s="1"/>
  <c r="L10" i="2" s="1"/>
  <c r="L11" i="2" s="1"/>
  <c r="L12" i="2" s="1"/>
  <c r="L13" i="2" s="1"/>
  <c r="L14" i="2" s="1"/>
  <c r="L15" i="2" s="1"/>
  <c r="L16" i="2" s="1"/>
  <c r="L17" i="2" s="1"/>
  <c r="L18" i="2" s="1"/>
  <c r="L19" i="2" s="1"/>
  <c r="L20" i="2" s="1"/>
  <c r="L21" i="2" s="1"/>
  <c r="L22" i="2" s="1"/>
  <c r="L23" i="2" s="1"/>
  <c r="L24" i="2" s="1"/>
  <c r="L25" i="2" s="1"/>
  <c r="L26" i="2" s="1"/>
  <c r="L27" i="2" s="1"/>
  <c r="L28" i="2" s="1"/>
  <c r="L29" i="2" s="1"/>
  <c r="L30" i="2" s="1"/>
  <c r="L31" i="2" s="1"/>
  <c r="L32" i="2" s="1"/>
  <c r="L33" i="2" s="1"/>
  <c r="L34" i="2" s="1"/>
  <c r="L35" i="2" s="1"/>
  <c r="L36" i="2" s="1"/>
  <c r="L37" i="2" s="1"/>
  <c r="L38" i="2" s="1"/>
  <c r="L39" i="2" s="1"/>
  <c r="L40" i="2" s="1"/>
  <c r="L41" i="2" s="1"/>
  <c r="L42" i="2" s="1"/>
  <c r="L43" i="2" s="1"/>
  <c r="L44" i="2" s="1"/>
  <c r="L45" i="2" s="1"/>
  <c r="L46" i="2" s="1"/>
  <c r="L47" i="2" s="1"/>
  <c r="L48" i="2" s="1"/>
  <c r="L49" i="2" s="1"/>
  <c r="L50" i="2" s="1"/>
  <c r="L51" i="2" s="1"/>
  <c r="L52" i="2" s="1"/>
  <c r="L53" i="2" s="1"/>
  <c r="L54" i="2" s="1"/>
  <c r="L55" i="2" s="1"/>
  <c r="L56" i="2" s="1"/>
  <c r="L57" i="2" s="1"/>
  <c r="L58" i="2" s="1"/>
  <c r="L59" i="2" s="1"/>
  <c r="L60" i="2" s="1"/>
  <c r="L61" i="2" s="1"/>
  <c r="L62" i="2" s="1"/>
  <c r="L63" i="2" s="1"/>
  <c r="L64" i="2" s="1"/>
  <c r="L65" i="2" s="1"/>
  <c r="L66" i="2" s="1"/>
  <c r="G5" i="2"/>
  <c r="H5" i="2" s="1"/>
  <c r="F5" i="2"/>
  <c r="E5" i="2"/>
  <c r="D5" i="2"/>
  <c r="C5" i="2"/>
  <c r="I5" i="2" s="1"/>
  <c r="B5" i="2"/>
  <c r="A5" i="2"/>
  <c r="R4" i="2"/>
  <c r="R67" i="2" s="1" a="1"/>
  <c r="R67" i="2" s="1"/>
  <c r="Q4" i="2"/>
  <c r="Q67" i="2" s="1" a="1"/>
  <c r="Q67" i="2" s="1"/>
  <c r="P4" i="2"/>
  <c r="P67" i="2" s="1" a="1"/>
  <c r="P67" i="2" s="1"/>
  <c r="O4" i="2"/>
  <c r="O67" i="2" s="1" a="1"/>
  <c r="O67" i="2" s="1"/>
  <c r="N4" i="2"/>
  <c r="S4" i="2" s="1"/>
  <c r="M4" i="2"/>
  <c r="I4" i="2"/>
  <c r="H4" i="2"/>
  <c r="G4" i="2"/>
  <c r="F4" i="2"/>
  <c r="E4" i="2"/>
  <c r="D4" i="2"/>
  <c r="D67" i="2" s="1" a="1"/>
  <c r="D67" i="2" s="1"/>
  <c r="C4" i="2"/>
  <c r="B4" i="2"/>
  <c r="E67" i="2" s="1" a="1"/>
  <c r="E67" i="2" s="1"/>
  <c r="F67" i="2" l="1" a="1"/>
  <c r="F67" i="2" s="1"/>
  <c r="H6" i="2"/>
  <c r="H14" i="2"/>
  <c r="H30" i="2"/>
  <c r="S34" i="2"/>
  <c r="S67" i="2" s="1"/>
  <c r="S62" i="2"/>
  <c r="T6" i="2"/>
  <c r="T14" i="2"/>
  <c r="T22" i="2"/>
  <c r="T30" i="2"/>
  <c r="T38" i="2"/>
  <c r="T46" i="2"/>
  <c r="T54" i="2"/>
  <c r="G67" i="2" a="1"/>
  <c r="G67" i="2" s="1"/>
  <c r="H54" i="2"/>
  <c r="N67" i="2" a="1"/>
  <c r="N67" i="2" s="1"/>
  <c r="S50" i="2"/>
  <c r="T18" i="2"/>
  <c r="H23" i="2"/>
  <c r="T26" i="2"/>
  <c r="H55" i="2"/>
  <c r="T58" i="2"/>
  <c r="I62" i="2"/>
  <c r="H7" i="2"/>
  <c r="T10" i="2"/>
  <c r="H15" i="2"/>
  <c r="H31" i="2"/>
  <c r="H67" i="2" s="1"/>
  <c r="H39" i="2"/>
  <c r="T42" i="2"/>
  <c r="H47" i="2"/>
  <c r="H63" i="2"/>
  <c r="I7" i="2"/>
  <c r="I67" i="2" s="1"/>
  <c r="S36" i="2"/>
  <c r="S52" i="2"/>
  <c r="I38" i="2"/>
  <c r="S44" i="2"/>
  <c r="T4" i="2"/>
  <c r="T12" i="2"/>
  <c r="T20" i="2"/>
  <c r="T28" i="2"/>
  <c r="I22" i="2"/>
  <c r="I46" i="2"/>
  <c r="T67" i="2" l="1"/>
</calcChain>
</file>

<file path=xl/sharedStrings.xml><?xml version="1.0" encoding="utf-8"?>
<sst xmlns="http://schemas.openxmlformats.org/spreadsheetml/2006/main" count="708" uniqueCount="551">
  <si>
    <t>Patient</t>
  </si>
  <si>
    <t>Diagnosis</t>
  </si>
  <si>
    <t>CANCER STAGE</t>
  </si>
  <si>
    <t>PROMPT VARIATIONS</t>
  </si>
  <si>
    <t>SAME PROMPT</t>
  </si>
  <si>
    <t>Actual Stage</t>
  </si>
  <si>
    <t>prompt1</t>
  </si>
  <si>
    <t>prompt2</t>
  </si>
  <si>
    <t>prompt3</t>
  </si>
  <si>
    <t>prompt4</t>
  </si>
  <si>
    <t>prompt5</t>
  </si>
  <si>
    <t>Row accuracy</t>
  </si>
  <si>
    <t>Consensus rate</t>
  </si>
  <si>
    <t>classify1</t>
  </si>
  <si>
    <t>classify2</t>
  </si>
  <si>
    <t>classify3</t>
  </si>
  <si>
    <t>classify4</t>
  </si>
  <si>
    <t>classify5</t>
  </si>
  <si>
    <t>AVG accuracy</t>
  </si>
  <si>
    <t>cancer_prediction</t>
  </si>
  <si>
    <t>confidence</t>
  </si>
  <si>
    <t>reasoning</t>
  </si>
  <si>
    <t>Elevated CA19-9 (422.0 U/mL) with suspicious biomarker profile suggests high likelihood of cancer.</t>
  </si>
  <si>
    <t>Normal CA19-9 (30.0 U/mL) and age-appropriate biomarker profile indicate low risk of pancreatic cancer.</t>
  </si>
  <si>
    <t>Markedly elevated CA19-9 (11740.0 U/mL) in a 66yo is strongly indicative of pancreatic malignancy.</t>
  </si>
  <si>
    <t>Normal CA19-9 (6.71 U/mL) and age-appropriate biomarker profile indicate low risk of pancreatic cancer.</t>
  </si>
  <si>
    <t>Markedly elevated CA19-9 (1621.0 U/mL) in a 76yo is strongly indicative of pancreatic malignancy.</t>
  </si>
  <si>
    <t>Markedly elevated CA19-9 (538.0 U/mL) in a 73yo is strongly indicative of pancreatic malignancy.</t>
  </si>
  <si>
    <t>Normal CA19-9 (6.9 U/mL) and age-appropriate biomarker profile indicate low risk of pancreatic cancer.</t>
  </si>
  <si>
    <t>Normal CA19-9 (31.24 U/mL) and age-appropriate biomarker profile indicate low risk of pancreatic cancer.</t>
  </si>
  <si>
    <t>Elevated CA19-9 (468.3 U/mL) with suspicious biomarker profile suggests high likelihood of cancer.</t>
  </si>
  <si>
    <t>Mildly elevated CA19-9 (66.0 U/mL) but younger age and parameters do not definitively point to cancer.</t>
  </si>
  <si>
    <t>Mildly elevated CA19-9 (50.0 U/mL) but younger age and parameters do not definitively point to cancer.</t>
  </si>
  <si>
    <t>Normal CA19-9 (22.0 U/mL) and age-appropriate biomarker profile indicate low risk of pancreatic cancer.</t>
  </si>
  <si>
    <t>Markedly elevated CA19-9 (1098.0 U/mL) in a 62yo is strongly indicative of pancreatic malignancy.</t>
  </si>
  <si>
    <t>Borderline elevated CA19-9 (43.0 U/mL) in an older adult (83yo) raises significant suspicion for malignancy.</t>
  </si>
  <si>
    <t>Normal CA19-9 (16.2 U/mL) and age-appropriate biomarker profile indicate low risk of pancreatic cancer.</t>
  </si>
  <si>
    <t>Elevated CA19-9 (155.0 U/mL) with suspicious biomarker profile suggests high likelihood of cancer.</t>
  </si>
  <si>
    <t>Normal CA19-9 (12.84 U/mL) and age-appropriate biomarker profile indicate low risk of pancreatic cancer.</t>
  </si>
  <si>
    <t>Markedly elevated CA19-9 (523.0 U/mL) in a 39yo is strongly indicative of pancreatic malignancy.</t>
  </si>
  <si>
    <t>Markedly elevated CA19-9 (1318.0 U/mL) in a 68yo is strongly indicative of pancreatic malignancy.</t>
  </si>
  <si>
    <t>Elevated CA19-9 (309.0 U/mL) with suspicious biomarker profile suggests high likelihood of cancer.</t>
  </si>
  <si>
    <t>Borderline elevated CA19-9 (72.0 U/mL) in an older adult (72yo) raises significant suspicion for malignancy.</t>
  </si>
  <si>
    <t>Elevated CA19-9 (158.0 U/mL) with suspicious biomarker profile suggests high likelihood of cancer.</t>
  </si>
  <si>
    <t>Elevated CA19-9 (147.7 U/mL) with suspicious biomarker profile suggests high likelihood of cancer.</t>
  </si>
  <si>
    <t>Elevated CA19-9 (216.0 U/mL) with suspicious biomarker profile suggests high likelihood of cancer.</t>
  </si>
  <si>
    <t>Markedly elevated CA19-9 (1916.0 U/mL) in a 73yo is strongly indicative of pancreatic malignancy.</t>
  </si>
  <si>
    <t>Markedly elevated CA19-9 (655.0 U/mL) in a 72yo is strongly indicative of pancreatic malignancy.</t>
  </si>
  <si>
    <t>Markedly elevated CA19-9 (537.0 U/mL) in a 66yo is strongly indicative of pancreatic malignancy.</t>
  </si>
  <si>
    <t>Elevated CA19-9 (190.7 U/mL) with suspicious biomarker profile suggests high likelihood of cancer.</t>
  </si>
  <si>
    <t>Elevated CA19-9 (120.0 U/mL) with suspicious biomarker profile suggests high likelihood of cancer.</t>
  </si>
  <si>
    <t>Normal CA19-9 (21.0 U/mL) and age-appropriate biomarker profile indicate low risk of pancreatic cancer.</t>
  </si>
  <si>
    <t>Markedly elevated CA19-9 (1471.0 U/mL) in a 65yo is strongly indicative of pancreatic malignancy.</t>
  </si>
  <si>
    <t>Normal CA19-9 (6.0 U/mL) and age-appropriate biomarker profile indicate low risk of pancreatic cancer.</t>
  </si>
  <si>
    <t>Normal CA19-9 (2.0 U/mL) and age-appropriate biomarker profile indicate low risk of pancreatic cancer.</t>
  </si>
  <si>
    <t>Normal CA19-9 (26.0 U/mL) and age-appropriate biomarker profile indicate low risk of pancreatic cancer.</t>
  </si>
  <si>
    <t>Normal CA19-9 (1.0 U/mL) and age-appropriate biomarker profile indicate low risk of pancreatic cancer.</t>
  </si>
  <si>
    <t>Normal CA19-9 (18.23 U/mL) and age-appropriate biomarker profile indicate low risk of pancreatic cancer.</t>
  </si>
  <si>
    <t>Markedly elevated CA19-9 (641.0 U/mL) in a 64yo is strongly indicative of pancreatic malignancy.</t>
  </si>
  <si>
    <t>Normal CA19-9 (10.0 U/mL) and age-appropriate biomarker profile indicate low risk of pancreatic cancer.</t>
  </si>
  <si>
    <t>Markedly elevated CA19-9 (1475.0 U/mL) in a 68yo is strongly indicative of pancreatic malignancy.</t>
  </si>
  <si>
    <t>Elevated CA19-9 (328.0 U/mL) with suspicious biomarker profile suggests high likelihood of cancer.</t>
  </si>
  <si>
    <t>Elevated CA19-9 (182.0 U/mL) with suspicious biomarker profile suggests high likelihood of cancer.</t>
  </si>
  <si>
    <t>Normal CA19-9 (20.0 U/mL) and age-appropriate biomarker profile indicate low risk of pancreatic cancer.</t>
  </si>
  <si>
    <t>Normal CA19-9 (11.0 U/mL) and age-appropriate biomarker profile indicate low risk of pancreatic cancer.</t>
  </si>
  <si>
    <t>Normal CA19-9 (22.0 U/mL) lowers probability of PDAC despite advanced age.</t>
  </si>
  <si>
    <t>Mildly elevated CA19-9 (62.0 U/mL) but younger age and parameters do not definitively point to cancer.</t>
  </si>
  <si>
    <t>Normal CA19-9 (5.8 U/mL) and age-appropriate biomarker profile indicate low risk of pancreatic cancer.</t>
  </si>
  <si>
    <t>Markedly elevated CA19-9 (1624.0 U/mL) in a 67yo is strongly indicative of pancreatic malignancy.</t>
  </si>
  <si>
    <t>Normal CA19-9 (30.0 U/mL) lowers probability of PDAC despite advanced age.</t>
  </si>
  <si>
    <t>Markedly elevated CA19-9 (1503.0 U/mL) in a 73yo is strongly indicative of pancreatic malignancy.</t>
  </si>
  <si>
    <t>Elevated CA19-9 (147.0 U/mL) with suspicious biomarker profile suggests high likelihood of cancer.</t>
  </si>
  <si>
    <t>Markedly elevated CA19-9 (600.0 U/mL) in a 75yo is strongly indicative of pancreatic malignancy.</t>
  </si>
  <si>
    <t>Normal CA19-9 (5.0 U/mL) and age-appropriate biomarker profile indicate low risk of pancreatic cancer.</t>
  </si>
  <si>
    <t>Normal CA19-9 (3.53 U/mL) and age-appropriate biomarker profile indicate low risk of pancreatic cancer.</t>
  </si>
  <si>
    <t>Markedly elevated CA19-9 (31000.0 U/mL) in a 69yo is strongly indicative of pancreatic malignancy.</t>
  </si>
  <si>
    <t>Normal CA19-9 (0.6 U/mL) and age-appropriate biomarker profile indicate low risk of pancreatic cancer.</t>
  </si>
  <si>
    <t>Markedly elevated CA19-9 (601.0 U/mL) in a 66yo is strongly indicative of pancreatic malignancy.</t>
  </si>
  <si>
    <t>Markedly elevated CA19-9 (5855.0 U/mL) in a 66yo is strongly indicative of pancreatic malignancy.</t>
  </si>
  <si>
    <t>Elevated CA19-9 (271.7 U/mL) with suspicious biomarker profile suggests high likelihood of cancer.</t>
  </si>
  <si>
    <t>Elevated CA19-9 (291.0 U/mL) with suspicious biomarker profile suggests high likelihood of cancer.</t>
  </si>
  <si>
    <t>Elevated CA19-9 (167.5 U/mL) with suspicious biomarker profile suggests high likelihood of cancer.</t>
  </si>
  <si>
    <t>Elevated CA19-9 (114.8 U/mL) with suspicious biomarker profile suggests high likelihood of cancer.</t>
  </si>
  <si>
    <t>Significantly elevated CA19-9 levels (422.0 U/mL) are highly suspicious for malignancy.</t>
  </si>
  <si>
    <t>CA19-9 (30.0 U/mL) is within normal limits; low suspicion for cancer.</t>
  </si>
  <si>
    <t>Extremely high CA19-9 levels (&gt;1000 U/mL) strongly indicate pancreatic cancer.</t>
  </si>
  <si>
    <t>CA19-9 is well within normal physiological limits (&lt;10 U/mL), minimizing likelihood of pancreatic cancer.</t>
  </si>
  <si>
    <t>Significantly elevated CA19-9 levels (538.0 U/mL) are highly suspicious for malignancy.</t>
  </si>
  <si>
    <t>CA19-9 (31.24 U/mL) is within normal limits; low suspicion for cancer.</t>
  </si>
  <si>
    <t>Significantly elevated CA19-9 levels (468.3 U/mL) are highly suspicious for malignancy.</t>
  </si>
  <si>
    <t>Elevated CA19-9 (66.0 U/mL) exceeds normal upper limit (37 U/mL), warranting clinical suspicion.</t>
  </si>
  <si>
    <t>Elevated CA19-9 (50.0 U/mL) exceeds normal upper limit (37 U/mL), warranting clinical suspicion.</t>
  </si>
  <si>
    <t>CA19-9 (22.0 U/mL) is within normal limits; low suspicion for cancer.</t>
  </si>
  <si>
    <t>Elevated CA19-9 (43.0 U/mL) exceeds normal upper limit (37 U/mL), warranting clinical suspicion.</t>
  </si>
  <si>
    <t>Normal CA19-9 levels suggest absence of significant pancreatic malignancy.</t>
  </si>
  <si>
    <t>CA19-9 (155.0 U/mL) is well above diagnostic thresholds, suggesting likely tumor presence.</t>
  </si>
  <si>
    <t>Significantly elevated CA19-9 levels (523.0 U/mL) are highly suspicious for malignancy.</t>
  </si>
  <si>
    <t>Significantly elevated CA19-9 levels (309.0 U/mL) are highly suspicious for malignancy.</t>
  </si>
  <si>
    <t>Elevated CA19-9 (72.0 U/mL) exceeds normal upper limit (37 U/mL), warranting clinical suspicion.</t>
  </si>
  <si>
    <t>CA19-9 (158.0 U/mL) is well above diagnostic thresholds, suggesting likely tumor presence.</t>
  </si>
  <si>
    <t>CA19-9 (147.7 U/mL) is well above diagnostic thresholds, suggesting likely tumor presence.</t>
  </si>
  <si>
    <t>Significantly elevated CA19-9 levels (216.0 U/mL) are highly suspicious for malignancy.</t>
  </si>
  <si>
    <t>Significantly elevated CA19-9 levels (655.0 U/mL) are highly suspicious for malignancy.</t>
  </si>
  <si>
    <t>Significantly elevated CA19-9 levels (537.0 U/mL) are highly suspicious for malignancy.</t>
  </si>
  <si>
    <t>CA19-9 (190.7 U/mL) is well above diagnostic thresholds, suggesting likely tumor presence.</t>
  </si>
  <si>
    <t>CA19-9 (120.0 U/mL) is well above diagnostic thresholds, suggesting likely tumor presence.</t>
  </si>
  <si>
    <t>CA19-9 (21.0 U/mL) is within normal limits; low suspicion for cancer.</t>
  </si>
  <si>
    <t>CA19-9 (26.0 U/mL) is within normal limits; low suspicion for cancer.</t>
  </si>
  <si>
    <t>Significantly elevated CA19-9 levels (641.0 U/mL) are highly suspicious for malignancy.</t>
  </si>
  <si>
    <t>Significantly elevated CA19-9 levels (328.0 U/mL) are highly suspicious for malignancy.</t>
  </si>
  <si>
    <t>CA19-9 (182.0 U/mL) is well above diagnostic thresholds, suggesting likely tumor presence.</t>
  </si>
  <si>
    <t>Elevated CA19-9 (62.0 U/mL) exceeds normal upper limit (37 U/mL), warranting clinical suspicion.</t>
  </si>
  <si>
    <t>CA19-9 (147.0 U/mL) is well above diagnostic thresholds, suggesting likely tumor presence.</t>
  </si>
  <si>
    <t>Significantly elevated CA19-9 levels (600.0 U/mL) are highly suspicious for malignancy.</t>
  </si>
  <si>
    <t>Significantly elevated CA19-9 levels (601.0 U/mL) are highly suspicious for malignancy.</t>
  </si>
  <si>
    <t>Significantly elevated CA19-9 levels (271.7 U/mL) are highly suspicious for malignancy.</t>
  </si>
  <si>
    <t>Significantly elevated CA19-9 levels (291.0 U/mL) are highly suspicious for malignancy.</t>
  </si>
  <si>
    <t>CA19-9 (167.5 U/mL) is well above diagnostic thresholds, suggesting likely tumor presence.</t>
  </si>
  <si>
    <t>CA19-9 (114.8 U/mL) is well above diagnostic thresholds, suggesting likely tumor presence.</t>
  </si>
  <si>
    <t>Elevated CA19-9 (422.0); markedly high CA19-9; Age 68 is a risk factor</t>
  </si>
  <si>
    <t>Normal CA19-9 (30.0); Age 62 is a risk factor</t>
  </si>
  <si>
    <t>Elevated CA19-9 (11740.0); markedly high CA19-9; very high CA19-9 strongly suggests malignancy; Age 66 is a risk factor</t>
  </si>
  <si>
    <t>Normal CA19-9 (6.71)</t>
  </si>
  <si>
    <t>Elevated CA19-9 (1621.0); markedly high CA19-9; very high CA19-9 strongly suggests malignancy; Age 76 is a risk factor</t>
  </si>
  <si>
    <t>Elevated CA19-9 (538.0); markedly high CA19-9; very high CA19-9 strongly suggests malignancy; Age 73 is a risk factor</t>
  </si>
  <si>
    <t>Normal CA19-9 (6.9); Age 67 is a risk factor</t>
  </si>
  <si>
    <t>Normal CA19-9 (31.24); Age 67 is a risk factor</t>
  </si>
  <si>
    <t>Elevated CA19-9 (468.3); markedly high CA19-9</t>
  </si>
  <si>
    <t>Elevated CA19-9 (66.0)</t>
  </si>
  <si>
    <t>Elevated CA19-9 (50.0)</t>
  </si>
  <si>
    <t>Normal CA19-9 (22.0); Age 71 is a risk factor</t>
  </si>
  <si>
    <t>Elevated CA19-9 (1098.0); markedly high CA19-9; very high CA19-9 strongly suggests malignancy; Age 62 is a risk factor</t>
  </si>
  <si>
    <t>Elevated CA19-9 (43.0); Age 83 is a risk factor</t>
  </si>
  <si>
    <t>Normal CA19-9 (16.2); Age 74 is a risk factor</t>
  </si>
  <si>
    <t>Elevated CA19-9 (155.0); markedly high CA19-9; Age 61 is a risk factor</t>
  </si>
  <si>
    <t>Normal CA19-9 (12.84)</t>
  </si>
  <si>
    <t>Elevated CA19-9 (523.0); markedly high CA19-9; very high CA19-9 strongly suggests malignancy</t>
  </si>
  <si>
    <t>Elevated CA19-9 (1318.0); markedly high CA19-9; very high CA19-9 strongly suggests malignancy; Age 68 is a risk factor</t>
  </si>
  <si>
    <t>Elevated CA19-9 (309.0); markedly high CA19-9; Age 64 is a risk factor</t>
  </si>
  <si>
    <t>Elevated CA19-9 (72.0); Age 72 is a risk factor</t>
  </si>
  <si>
    <t>Elevated CA19-9 (158.0); markedly high CA19-9</t>
  </si>
  <si>
    <t>Elevated CA19-9 (147.7); markedly high CA19-9</t>
  </si>
  <si>
    <t>Elevated CA19-9 (216.0); markedly high CA19-9; Age 65 is a risk factor</t>
  </si>
  <si>
    <t>Elevated CA19-9 (1916.0); markedly high CA19-9; very high CA19-9 strongly suggests malignancy; Age 73 is a risk factor</t>
  </si>
  <si>
    <t>Elevated CA19-9 (655.0); markedly high CA19-9; very high CA19-9 strongly suggests malignancy; Age 72 is a risk factor</t>
  </si>
  <si>
    <t>Elevated CA19-9 (537.0); markedly high CA19-9; very high CA19-9 strongly suggests malignancy; Age 66 is a risk factor</t>
  </si>
  <si>
    <t>Elevated CA19-9 (190.7); markedly high CA19-9</t>
  </si>
  <si>
    <t>Elevated CA19-9 (120.0); markedly high CA19-9; Age 76 is a risk factor</t>
  </si>
  <si>
    <t>Normal CA19-9 (21.0)</t>
  </si>
  <si>
    <t>Elevated CA19-9 (1471.0); markedly high CA19-9; very high CA19-9 strongly suggests malignancy; Age 65 is a risk factor</t>
  </si>
  <si>
    <t>Normal CA19-9 (6.0)</t>
  </si>
  <si>
    <t>Normal CA19-9 (2.0)</t>
  </si>
  <si>
    <t>Normal CA19-9 (26.0)</t>
  </si>
  <si>
    <t>Normal CA19-9 (1.0)</t>
  </si>
  <si>
    <t>Normal CA19-9 (18.23)</t>
  </si>
  <si>
    <t>Elevated CA19-9 (641.0); markedly high CA19-9; very high CA19-9 strongly suggests malignancy; Age 64 is a risk factor</t>
  </si>
  <si>
    <t>Normal CA19-9 (10.0)</t>
  </si>
  <si>
    <t>Elevated CA19-9 (1475.0); markedly high CA19-9; very high CA19-9 strongly suggests malignancy; Age 68 is a risk factor</t>
  </si>
  <si>
    <t>Elevated CA19-9 (328.0); markedly high CA19-9; Age 72 is a risk factor</t>
  </si>
  <si>
    <t>Elevated CA19-9 (182.0); markedly high CA19-9; Age 73 is a risk factor</t>
  </si>
  <si>
    <t>Normal CA19-9 (20.0)</t>
  </si>
  <si>
    <t>Normal CA19-9 (11.0)</t>
  </si>
  <si>
    <t>Normal CA19-9 (22.0); Age 82 is a risk factor</t>
  </si>
  <si>
    <t>Elevated CA19-9 (62.0); Age 62 is a risk factor</t>
  </si>
  <si>
    <t>Normal CA19-9 (5.8)</t>
  </si>
  <si>
    <t>Elevated CA19-9 (1624.0); markedly high CA19-9; very high CA19-9 strongly suggests malignancy; Age 67 is a risk factor</t>
  </si>
  <si>
    <t>Normal CA19-9 (30.0); Age 76 is a risk factor</t>
  </si>
  <si>
    <t>Elevated CA19-9 (1503.0); markedly high CA19-9; very high CA19-9 strongly suggests malignancy; Age 73 is a risk factor</t>
  </si>
  <si>
    <t>Elevated CA19-9 (147.0); markedly high CA19-9; Age 68 is a risk factor</t>
  </si>
  <si>
    <t>Elevated CA19-9 (600.0); markedly high CA19-9; very high CA19-9 strongly suggests malignancy; Age 75 is a risk factor</t>
  </si>
  <si>
    <t>Normal CA19-9 (5.0)</t>
  </si>
  <si>
    <t>Normal CA19-9 (3.53)</t>
  </si>
  <si>
    <t>Normal CA19-9 (30.0); Age 78 is a risk factor</t>
  </si>
  <si>
    <t>Elevated CA19-9 (31000.0); markedly high CA19-9; very high CA19-9 strongly suggests malignancy; Age 69 is a risk factor</t>
  </si>
  <si>
    <t>Normal CA19-9 (0.6)</t>
  </si>
  <si>
    <t>Elevated CA19-9 (601.0); markedly high CA19-9; very high CA19-9 strongly suggests malignancy; Age 66 is a risk factor</t>
  </si>
  <si>
    <t>Elevated CA19-9 (5855.0); markedly high CA19-9; very high CA19-9 strongly suggests malignancy; Age 66 is a risk factor</t>
  </si>
  <si>
    <t>Elevated CA19-9 (271.7); markedly high CA19-9</t>
  </si>
  <si>
    <t>Elevated CA19-9 (291.0); markedly high CA19-9; Age 70 is a risk factor</t>
  </si>
  <si>
    <t>Elevated CA19-9 (167.5); markedly high CA19-9; Age 80 is a risk factor</t>
  </si>
  <si>
    <t>Normal CA19-9 (6.9); Age 61 is a risk factor</t>
  </si>
  <si>
    <t>Elevated CA19-9 (114.8); markedly high CA19-9</t>
  </si>
  <si>
    <t>CA19-9 levels are significantly elevated (422.0 U/mL), highly suspicious for pancreatic malignancy.</t>
  </si>
  <si>
    <t>CA19-9 is within normal limits (30.0 U/mL), lowering suspicion for pancreatic cancer.</t>
  </si>
  <si>
    <t>CA19-9 levels are significantly elevated (11740.0 U/mL), highly suspicious for pancreatic malignancy.</t>
  </si>
  <si>
    <t>CA19-9 is within normal limits (6.71 U/mL), lowering suspicion for pancreatic cancer.</t>
  </si>
  <si>
    <t>CA19-9 levels are significantly elevated (1621.0 U/mL), highly suspicious for pancreatic malignancy.</t>
  </si>
  <si>
    <t>CA19-9 levels are significantly elevated (538.0 U/mL), highly suspicious for pancreatic malignancy.</t>
  </si>
  <si>
    <t>CA19-9 is within normal limits (6.9 U/mL), lowering suspicion for pancreatic cancer.</t>
  </si>
  <si>
    <t>CA19-9 is within normal limits (31.24 U/mL), lowering suspicion for pancreatic cancer.</t>
  </si>
  <si>
    <t>CA19-9 levels are significantly elevated (468.3 U/mL), highly suspicious for pancreatic malignancy.</t>
  </si>
  <si>
    <t>CA19-9 is elevated above normal threshold (66.0 U/mL), indicating potential malignancy.</t>
  </si>
  <si>
    <t>CA19-9 is elevated above normal threshold (50.0 U/mL), indicating potential malignancy.</t>
  </si>
  <si>
    <t>CA19-9 is within normal limits (22.0 U/mL), lowering suspicion for pancreatic cancer.</t>
  </si>
  <si>
    <t>CA19-9 levels are significantly elevated (1098.0 U/mL), highly suspicious for pancreatic malignancy.</t>
  </si>
  <si>
    <t>CA19-9 is elevated above normal threshold (43.0 U/mL), indicating potential malignancy.</t>
  </si>
  <si>
    <t>CA19-9 is within normal limits (16.2 U/mL), lowering suspicion for pancreatic cancer.</t>
  </si>
  <si>
    <t>CA19-9 levels are significantly elevated (155.0 U/mL), highly suspicious for pancreatic malignancy.</t>
  </si>
  <si>
    <t>CA19-9 is within normal limits (12.84 U/mL), lowering suspicion for pancreatic cancer.</t>
  </si>
  <si>
    <t>CA19-9 levels are significantly elevated (523.0 U/mL), highly suspicious for pancreatic malignancy.</t>
  </si>
  <si>
    <t>CA19-9 levels are significantly elevated (1318.0 U/mL), highly suspicious for pancreatic malignancy.</t>
  </si>
  <si>
    <t>CA19-9 levels are significantly elevated (309.0 U/mL), highly suspicious for pancreatic malignancy.</t>
  </si>
  <si>
    <t>CA19-9 is elevated above normal threshold (72.0 U/mL), indicating potential malignancy.</t>
  </si>
  <si>
    <t>CA19-9 levels are significantly elevated (158.0 U/mL), highly suspicious for pancreatic malignancy.</t>
  </si>
  <si>
    <t>CA19-9 levels are significantly elevated (147.7 U/mL), highly suspicious for pancreatic malignancy.</t>
  </si>
  <si>
    <t>CA19-9 levels are significantly elevated (216.0 U/mL), highly suspicious for pancreatic malignancy.</t>
  </si>
  <si>
    <t>CA19-9 levels are significantly elevated (1916.0 U/mL), highly suspicious for pancreatic malignancy.</t>
  </si>
  <si>
    <t>CA19-9 levels are significantly elevated (655.0 U/mL), highly suspicious for pancreatic malignancy.</t>
  </si>
  <si>
    <t>CA19-9 levels are significantly elevated (537.0 U/mL), highly suspicious for pancreatic malignancy.</t>
  </si>
  <si>
    <t>CA19-9 levels are significantly elevated (190.7 U/mL), highly suspicious for pancreatic malignancy.</t>
  </si>
  <si>
    <t>CA19-9 levels are significantly elevated (120.0 U/mL), highly suspicious for pancreatic malignancy.</t>
  </si>
  <si>
    <t>CA19-9 is within normal limits (21.0 U/mL), lowering suspicion for pancreatic cancer.</t>
  </si>
  <si>
    <t>CA19-9 levels are significantly elevated (1471.0 U/mL), highly suspicious for pancreatic malignancy.</t>
  </si>
  <si>
    <t>CA19-9 is within normal limits (6.0 U/mL), lowering suspicion for pancreatic cancer.</t>
  </si>
  <si>
    <t>CA19-9 is within normal limits (2.0 U/mL), lowering suspicion for pancreatic cancer.</t>
  </si>
  <si>
    <t>CA19-9 is within normal limits (26.0 U/mL), lowering suspicion for pancreatic cancer.</t>
  </si>
  <si>
    <t>CA19-9 is within normal limits (1.0 U/mL), lowering suspicion for pancreatic cancer.</t>
  </si>
  <si>
    <t>CA19-9 is within normal limits (18.23 U/mL), lowering suspicion for pancreatic cancer.</t>
  </si>
  <si>
    <t>CA19-9 levels are significantly elevated (641.0 U/mL), highly suspicious for pancreatic malignancy.</t>
  </si>
  <si>
    <t>CA19-9 is within normal limits (10.0 U/mL), lowering suspicion for pancreatic cancer.</t>
  </si>
  <si>
    <t>CA19-9 levels are significantly elevated (1475.0 U/mL), highly suspicious for pancreatic malignancy.</t>
  </si>
  <si>
    <t>CA19-9 levels are significantly elevated (328.0 U/mL), highly suspicious for pancreatic malignancy.</t>
  </si>
  <si>
    <t>CA19-9 levels are significantly elevated (182.0 U/mL), highly suspicious for pancreatic malignancy.</t>
  </si>
  <si>
    <t>CA19-9 is within normal limits (20.0 U/mL), lowering suspicion for pancreatic cancer.</t>
  </si>
  <si>
    <t>CA19-9 is within normal limits (11.0 U/mL), lowering suspicion for pancreatic cancer.</t>
  </si>
  <si>
    <t>CA19-9 is elevated above normal threshold (62.0 U/mL), indicating potential malignancy.</t>
  </si>
  <si>
    <t>CA19-9 is within normal limits (5.8 U/mL), lowering suspicion for pancreatic cancer.</t>
  </si>
  <si>
    <t>CA19-9 levels are significantly elevated (1624.0 U/mL), highly suspicious for pancreatic malignancy.</t>
  </si>
  <si>
    <t>CA19-9 levels are significantly elevated (1503.0 U/mL), highly suspicious for pancreatic malignancy.</t>
  </si>
  <si>
    <t>CA19-9 levels are significantly elevated (147.0 U/mL), highly suspicious for pancreatic malignancy.</t>
  </si>
  <si>
    <t>CA19-9 levels are significantly elevated (600.0 U/mL), highly suspicious for pancreatic malignancy.</t>
  </si>
  <si>
    <t>CA19-9 is within normal limits (5.0 U/mL), lowering suspicion for pancreatic cancer.</t>
  </si>
  <si>
    <t>CA19-9 is within normal limits (3.53 U/mL), lowering suspicion for pancreatic cancer.</t>
  </si>
  <si>
    <t>CA19-9 levels are significantly elevated (31000.0 U/mL), highly suspicious for pancreatic malignancy.</t>
  </si>
  <si>
    <t>CA19-9 is within normal limits (0.6 U/mL), lowering suspicion for pancreatic cancer.</t>
  </si>
  <si>
    <t>CA19-9 levels are significantly elevated (601.0 U/mL), highly suspicious for pancreatic malignancy.</t>
  </si>
  <si>
    <t>CA19-9 levels are significantly elevated (5855.0 U/mL), highly suspicious for pancreatic malignancy.</t>
  </si>
  <si>
    <t>CA19-9 levels are significantly elevated (271.7 U/mL), highly suspicious for pancreatic malignancy.</t>
  </si>
  <si>
    <t>CA19-9 levels are significantly elevated (291.0 U/mL), highly suspicious for pancreatic malignancy.</t>
  </si>
  <si>
    <t>CA19-9 levels are significantly elevated (167.5 U/mL), highly suspicious for pancreatic malignancy.</t>
  </si>
  <si>
    <t>CA19-9 levels are significantly elevated (114.8 U/mL), highly suspicious for pancreatic malignancy.</t>
  </si>
  <si>
    <t>Significantly elevated CA19-9 (422.0 U/mL) raises high clinical suspicion for pancreatic cancer.</t>
  </si>
  <si>
    <t>CA19-9 levels (30.0 U/mL) are below the abnormal threshold of 37 U/mL, but warrant standard monitoring.</t>
  </si>
  <si>
    <t>Markedly elevated CA19-9 (11740.0 U/mL) strongly indicates pancreatic malignancy.</t>
  </si>
  <si>
    <t>CA19-9 levels are well within normal limits (6.71 U/mL), indicating low likelihood of pancreatic cancer.</t>
  </si>
  <si>
    <t>Markedly elevated CA19-9 (1621.0 U/mL) strongly indicates pancreatic malignancy.</t>
  </si>
  <si>
    <t>Markedly elevated CA19-9 (538.0 U/mL) strongly indicates pancreatic malignancy.</t>
  </si>
  <si>
    <t>CA19-9 levels are well within normal limits (6.9 U/mL), indicating low likelihood of pancreatic cancer.</t>
  </si>
  <si>
    <t>CA19-9 levels (31.24 U/mL) are below the abnormal threshold of 37 U/mL, but warrant standard monitoring.</t>
  </si>
  <si>
    <t>Significantly elevated CA19-9 (468.3 U/mL) raises high clinical suspicion for pancreatic cancer.</t>
  </si>
  <si>
    <t>Mildly elevated CA19-9 (66.0 U/mL) above the 37 U/mL threshold suggests possible presence of cancer.</t>
  </si>
  <si>
    <t>Mildly elevated CA19-9 (50.0 U/mL) above the 37 U/mL threshold suggests possible presence of cancer.</t>
  </si>
  <si>
    <t>CA19-9 levels are normal (22.0 U/mL), suggesting no evidence of pancreatic cancer.</t>
  </si>
  <si>
    <t>Markedly elevated CA19-9 (1098.0 U/mL) strongly indicates pancreatic malignancy.</t>
  </si>
  <si>
    <t>Mildly elevated CA19-9 (43.0 U/mL) above the 37 U/mL threshold suggests possible presence of cancer.</t>
  </si>
  <si>
    <t>CA19-9 levels are normal (16.2 U/mL), suggesting no evidence of pancreatic cancer.</t>
  </si>
  <si>
    <t>Significantly elevated CA19-9 (155.0 U/mL) raises high clinical suspicion for pancreatic cancer.</t>
  </si>
  <si>
    <t>CA19-9 levels are normal (12.84 U/mL), suggesting no evidence of pancreatic cancer.</t>
  </si>
  <si>
    <t>Markedly elevated CA19-9 (523.0 U/mL) strongly indicates pancreatic malignancy.</t>
  </si>
  <si>
    <t>Markedly elevated CA19-9 (1318.0 U/mL) strongly indicates pancreatic malignancy.</t>
  </si>
  <si>
    <t>Significantly elevated CA19-9 (309.0 U/mL) raises high clinical suspicion for pancreatic cancer.</t>
  </si>
  <si>
    <t>Mildly elevated CA19-9 (72.0 U/mL) above the 37 U/mL threshold suggests possible presence of cancer.</t>
  </si>
  <si>
    <t>Significantly elevated CA19-9 (158.0 U/mL) raises high clinical suspicion for pancreatic cancer.</t>
  </si>
  <si>
    <t>Significantly elevated CA19-9 (147.7 U/mL) raises high clinical suspicion for pancreatic cancer.</t>
  </si>
  <si>
    <t>Significantly elevated CA19-9 (216.0 U/mL) raises high clinical suspicion for pancreatic cancer.</t>
  </si>
  <si>
    <t>Markedly elevated CA19-9 (1916.0 U/mL) strongly indicates pancreatic malignancy.</t>
  </si>
  <si>
    <t>Markedly elevated CA19-9 (655.0 U/mL) strongly indicates pancreatic malignancy.</t>
  </si>
  <si>
    <t>Markedly elevated CA19-9 (537.0 U/mL) strongly indicates pancreatic malignancy.</t>
  </si>
  <si>
    <t>Significantly elevated CA19-9 (190.7 U/mL) raises high clinical suspicion for pancreatic cancer.</t>
  </si>
  <si>
    <t>Significantly elevated CA19-9 (120.0 U/mL) raises high clinical suspicion for pancreatic cancer.</t>
  </si>
  <si>
    <t>CA19-9 levels are normal (21.0 U/mL), suggesting no evidence of pancreatic cancer.</t>
  </si>
  <si>
    <t>Markedly elevated CA19-9 (1471.0 U/mL) strongly indicates pancreatic malignancy.</t>
  </si>
  <si>
    <t>CA19-9 levels are well within normal limits (6.0 U/mL), indicating low likelihood of pancreatic cancer.</t>
  </si>
  <si>
    <t>CA19-9 levels are well within normal limits (2.0 U/mL), indicating low likelihood of pancreatic cancer.</t>
  </si>
  <si>
    <t>CA19-9 levels (26.0 U/mL) are below the abnormal threshold of 37 U/mL, but warrant standard monitoring.</t>
  </si>
  <si>
    <t>CA19-9 levels are well within normal limits (1.0 U/mL), indicating low likelihood of pancreatic cancer.</t>
  </si>
  <si>
    <t>CA19-9 levels are normal (18.23 U/mL), suggesting no evidence of pancreatic cancer.</t>
  </si>
  <si>
    <t>Markedly elevated CA19-9 (641.0 U/mL) strongly indicates pancreatic malignancy.</t>
  </si>
  <si>
    <t>CA19-9 levels are normal (10.0 U/mL), suggesting no evidence of pancreatic cancer.</t>
  </si>
  <si>
    <t>Markedly elevated CA19-9 (1475.0 U/mL) strongly indicates pancreatic malignancy.</t>
  </si>
  <si>
    <t>Significantly elevated CA19-9 (328.0 U/mL) raises high clinical suspicion for pancreatic cancer.</t>
  </si>
  <si>
    <t>Significantly elevated CA19-9 (182.0 U/mL) raises high clinical suspicion for pancreatic cancer.</t>
  </si>
  <si>
    <t>CA19-9 levels are normal (20.0 U/mL), suggesting no evidence of pancreatic cancer.</t>
  </si>
  <si>
    <t>CA19-9 levels are normal (11.0 U/mL), suggesting no evidence of pancreatic cancer.</t>
  </si>
  <si>
    <t>Mildly elevated CA19-9 (62.0 U/mL) above the 37 U/mL threshold suggests possible presence of cancer.</t>
  </si>
  <si>
    <t>CA19-9 levels are well within normal limits (5.8 U/mL), indicating low likelihood of pancreatic cancer.</t>
  </si>
  <si>
    <t>Markedly elevated CA19-9 (1624.0 U/mL) strongly indicates pancreatic malignancy.</t>
  </si>
  <si>
    <t>Markedly elevated CA19-9 (1503.0 U/mL) strongly indicates pancreatic malignancy.</t>
  </si>
  <si>
    <t>Significantly elevated CA19-9 (147.0 U/mL) raises high clinical suspicion for pancreatic cancer.</t>
  </si>
  <si>
    <t>Markedly elevated CA19-9 (600.0 U/mL) strongly indicates pancreatic malignancy.</t>
  </si>
  <si>
    <t>CA19-9 levels are well within normal limits (5.0 U/mL), indicating low likelihood of pancreatic cancer.</t>
  </si>
  <si>
    <t>CA19-9 levels are well within normal limits (3.53 U/mL), indicating low likelihood of pancreatic cancer.</t>
  </si>
  <si>
    <t>Markedly elevated CA19-9 (31000.0 U/mL) strongly indicates pancreatic malignancy.</t>
  </si>
  <si>
    <t>CA19-9 levels are well within normal limits (0.6 U/mL), indicating low likelihood of pancreatic cancer.</t>
  </si>
  <si>
    <t>Markedly elevated CA19-9 (601.0 U/mL) strongly indicates pancreatic malignancy.</t>
  </si>
  <si>
    <t>Markedly elevated CA19-9 (5855.0 U/mL) strongly indicates pancreatic malignancy.</t>
  </si>
  <si>
    <t>Significantly elevated CA19-9 (271.7 U/mL) raises high clinical suspicion for pancreatic cancer.</t>
  </si>
  <si>
    <t>Significantly elevated CA19-9 (291.0 U/mL) raises high clinical suspicion for pancreatic cancer.</t>
  </si>
  <si>
    <t>Significantly elevated CA19-9 (167.5 U/mL) raises high clinical suspicion for pancreatic cancer.</t>
  </si>
  <si>
    <t>Significantly elevated CA19-9 (114.8 U/mL) raises high clinical suspicion for pancreatic cancer.</t>
  </si>
  <si>
    <t>Significantly elevated CA19-9 (422.0 U/mL), highly indicative of pancreatic cancer.</t>
  </si>
  <si>
    <t>Normal CA19-9 (30.0 U/mL), suggesting lower risk of pancreatic cancer.</t>
  </si>
  <si>
    <t>Significantly elevated CA19-9 (11740.0 U/mL), highly indicative of pancreatic cancer.</t>
  </si>
  <si>
    <t>Normal CA19-9 (6.71 U/mL), suggesting lower risk of pancreatic cancer.</t>
  </si>
  <si>
    <t>Significantly elevated CA19-9 (1621.0 U/mL), highly indicative of pancreatic cancer.</t>
  </si>
  <si>
    <t>Significantly elevated CA19-9 (538.0 U/mL), highly indicative of pancreatic cancer.</t>
  </si>
  <si>
    <t>Normal CA19-9 (6.9 U/mL), suggesting lower risk of pancreatic cancer.</t>
  </si>
  <si>
    <t>Normal CA19-9 (31.24 U/mL), suggesting lower risk of pancreatic cancer.</t>
  </si>
  <si>
    <t>Significantly elevated CA19-9 (468.3 U/mL), highly indicative of pancreatic cancer.</t>
  </si>
  <si>
    <t>Elevated CA19-9 (66.0 U/mL), suspicious for malignancy.</t>
  </si>
  <si>
    <t>Elevated CA19-9 (50.0 U/mL), suspicious for malignancy.</t>
  </si>
  <si>
    <t>Normal CA19-9 (22.0 U/mL), suggesting lower risk of pancreatic cancer.</t>
  </si>
  <si>
    <t>Significantly elevated CA19-9 (1098.0 U/mL), highly indicative of pancreatic cancer.</t>
  </si>
  <si>
    <t>Elevated CA19-9 (43.0 U/mL), suspicious for malignancy.</t>
  </si>
  <si>
    <t>Normal CA19-9 (16.2 U/mL), suggesting lower risk of pancreatic cancer.</t>
  </si>
  <si>
    <t>Significantly elevated CA19-9 (155.0 U/mL), highly indicative of pancreatic cancer.</t>
  </si>
  <si>
    <t>Normal CA19-9 (12.84 U/mL), suggesting lower risk of pancreatic cancer.</t>
  </si>
  <si>
    <t>Significantly elevated CA19-9 (523.0 U/mL), highly indicative of pancreatic cancer.</t>
  </si>
  <si>
    <t>Significantly elevated CA19-9 (1318.0 U/mL), highly indicative of pancreatic cancer.</t>
  </si>
  <si>
    <t>Significantly elevated CA19-9 (309.0 U/mL), highly indicative of pancreatic cancer.</t>
  </si>
  <si>
    <t>Elevated CA19-9 (72.0 U/mL), suspicious for malignancy.</t>
  </si>
  <si>
    <t>Significantly elevated CA19-9 (158.0 U/mL), highly indicative of pancreatic cancer.</t>
  </si>
  <si>
    <t>Significantly elevated CA19-9 (147.7 U/mL), highly indicative of pancreatic cancer.</t>
  </si>
  <si>
    <t>Significantly elevated CA19-9 (216.0 U/mL), highly indicative of pancreatic cancer.</t>
  </si>
  <si>
    <t>Significantly elevated CA19-9 (1916.0 U/mL), highly indicative of pancreatic cancer.</t>
  </si>
  <si>
    <t>Significantly elevated CA19-9 (655.0 U/mL), highly indicative of pancreatic cancer.</t>
  </si>
  <si>
    <t>Significantly elevated CA19-9 (537.0 U/mL), highly indicative of pancreatic cancer.</t>
  </si>
  <si>
    <t>Significantly elevated CA19-9 (190.7 U/mL), highly indicative of pancreatic cancer.</t>
  </si>
  <si>
    <t>Significantly elevated CA19-9 (120.0 U/mL), highly indicative of pancreatic cancer.</t>
  </si>
  <si>
    <t>Normal CA19-9 (21.0 U/mL), suggesting lower risk of pancreatic cancer.</t>
  </si>
  <si>
    <t>Significantly elevated CA19-9 (1471.0 U/mL), highly indicative of pancreatic cancer.</t>
  </si>
  <si>
    <t>Normal CA19-9 (6.0 U/mL), suggesting lower risk of pancreatic cancer.</t>
  </si>
  <si>
    <t>Normal CA19-9 (2.0 U/mL), suggesting lower risk of pancreatic cancer.</t>
  </si>
  <si>
    <t>Normal CA19-9 (26.0 U/mL), suggesting lower risk of pancreatic cancer.</t>
  </si>
  <si>
    <t>Normal CA19-9 (1.0 U/mL), suggesting lower risk of pancreatic cancer.</t>
  </si>
  <si>
    <t>Normal CA19-9 (18.23 U/mL), suggesting lower risk of pancreatic cancer.</t>
  </si>
  <si>
    <t>Significantly elevated CA19-9 (641.0 U/mL), highly indicative of pancreatic cancer.</t>
  </si>
  <si>
    <t>Normal CA19-9 (10.0 U/mL), suggesting lower risk of pancreatic cancer.</t>
  </si>
  <si>
    <t>Significantly elevated CA19-9 (1475.0 U/mL), highly indicative of pancreatic cancer.</t>
  </si>
  <si>
    <t>Significantly elevated CA19-9 (328.0 U/mL), highly indicative of pancreatic cancer.</t>
  </si>
  <si>
    <t>Significantly elevated CA19-9 (182.0 U/mL), highly indicative of pancreatic cancer.</t>
  </si>
  <si>
    <t>Normal CA19-9 (20.0 U/mL), suggesting lower risk of pancreatic cancer.</t>
  </si>
  <si>
    <t>Normal CA19-9 (11.0 U/mL), suggesting lower risk of pancreatic cancer.</t>
  </si>
  <si>
    <t>Elevated CA19-9 (62.0 U/mL), suspicious for malignancy.</t>
  </si>
  <si>
    <t>Normal CA19-9 (5.8 U/mL), suggesting lower risk of pancreatic cancer.</t>
  </si>
  <si>
    <t>Significantly elevated CA19-9 (1624.0 U/mL), highly indicative of pancreatic cancer.</t>
  </si>
  <si>
    <t>Significantly elevated CA19-9 (1503.0 U/mL), highly indicative of pancreatic cancer.</t>
  </si>
  <si>
    <t>Significantly elevated CA19-9 (147.0 U/mL), highly indicative of pancreatic cancer.</t>
  </si>
  <si>
    <t>Significantly elevated CA19-9 (600.0 U/mL), highly indicative of pancreatic cancer.</t>
  </si>
  <si>
    <t>Normal CA19-9 (5.0 U/mL), suggesting lower risk of pancreatic cancer.</t>
  </si>
  <si>
    <t>Normal CA19-9 (3.53 U/mL), suggesting lower risk of pancreatic cancer.</t>
  </si>
  <si>
    <t>Significantly elevated CA19-9 (31000.0 U/mL), highly indicative of pancreatic cancer.</t>
  </si>
  <si>
    <t>Normal CA19-9 (0.6 U/mL), suggesting lower risk of pancreatic cancer.</t>
  </si>
  <si>
    <t>Significantly elevated CA19-9 (601.0 U/mL), highly indicative of pancreatic cancer.</t>
  </si>
  <si>
    <t>Significantly elevated CA19-9 (5855.0 U/mL), highly indicative of pancreatic cancer.</t>
  </si>
  <si>
    <t>Significantly elevated CA19-9 (271.7 U/mL), highly indicative of pancreatic cancer.</t>
  </si>
  <si>
    <t>Significantly elevated CA19-9 (291.0 U/mL), highly indicative of pancreatic cancer.</t>
  </si>
  <si>
    <t>Significantly elevated CA19-9 (167.5 U/mL), highly indicative of pancreatic cancer.</t>
  </si>
  <si>
    <t>Significantly elevated CA19-9 (114.8 U/mL), highly indicative of pancreatic cancer.</t>
  </si>
  <si>
    <t>Elevated CA19-9 (422.0 U/mL) in an older patient (age 68) is concerning for pancreatic cancer.</t>
  </si>
  <si>
    <t>Normal CA19-9 (30.0 U/mL) reduces likelihood of pancreatic cancer despite age 62.</t>
  </si>
  <si>
    <t>Markedly elevated CA19-9 (11740.0 U/mL) and age 66 are highly suspicious for pancreatic cancer.</t>
  </si>
  <si>
    <t>Normal CA19-9 (6.71 U/mL) reduces likelihood of pancreatic cancer despite age 55.</t>
  </si>
  <si>
    <t>Markedly elevated CA19-9 (1621.0 U/mL) and age 76 are highly suspicious for pancreatic cancer.</t>
  </si>
  <si>
    <t>Significantly elevated CA19-9 (538.0 U/mL) raises strong suspicion for malignancy.</t>
  </si>
  <si>
    <t>Normal CA19-9 (6.9 U/mL) reduces likelihood of pancreatic cancer despite age 67.</t>
  </si>
  <si>
    <t>Normal CA19-9 (31.24 U/mL) reduces likelihood of pancreatic cancer despite age 67.</t>
  </si>
  <si>
    <t>Elevated CA19-9 (468.3 U/mL) suggests possible malignancy despite younger age (29).</t>
  </si>
  <si>
    <t>Mildly elevated CA19-9 (66.0 U/mL) but lower pretest probability given age 58.</t>
  </si>
  <si>
    <t>Mildly elevated CA19-9 (50.0 U/mL) but lower pretest probability given age 48.</t>
  </si>
  <si>
    <t>Normal CA19-9 (22.0 U/mL) reduces likelihood of pancreatic cancer despite age 71.</t>
  </si>
  <si>
    <t>Markedly elevated CA19-9 (1098.0 U/mL) and age 62 are highly suspicious for pancreatic cancer.</t>
  </si>
  <si>
    <t>Borderline elevated CA19-9 (43.0 U/mL) in an elderly patient (age 83) warrants high suspicion.</t>
  </si>
  <si>
    <t>Normal CA19-9 (16.2 U/mL) reduces likelihood of pancreatic cancer despite age 74.</t>
  </si>
  <si>
    <t>Elevated CA19-9 (155.0 U/mL) in an older patient (age 61) is concerning for pancreatic cancer.</t>
  </si>
  <si>
    <t>Normal CA19-9 (12.84 U/mL) and young age (40) make pancreatic cancer unlikely.</t>
  </si>
  <si>
    <t>Significantly elevated CA19-9 (523.0 U/mL) raises strong suspicion for malignancy.</t>
  </si>
  <si>
    <t>Markedly elevated CA19-9 (1318.0 U/mL) and age 68 are highly suspicious for pancreatic cancer.</t>
  </si>
  <si>
    <t>Elevated CA19-9 (309.0 U/mL) in an older patient (age 64) is concerning for pancreatic cancer.</t>
  </si>
  <si>
    <t>Borderline elevated CA19-9 (72.0 U/mL) in an elderly patient (age 72) warrants high suspicion.</t>
  </si>
  <si>
    <t>Elevated CA19-9 (158.0 U/mL) suggests possible malignancy despite younger age (44).</t>
  </si>
  <si>
    <t>Elevated CA19-9 (147.7 U/mL) suggests possible malignancy despite younger age (60).</t>
  </si>
  <si>
    <t>Elevated CA19-9 (216.0 U/mL) in an older patient (age 65) is concerning for pancreatic cancer.</t>
  </si>
  <si>
    <t>Markedly elevated CA19-9 (1916.0 U/mL) and age 73 are highly suspicious for pancreatic cancer.</t>
  </si>
  <si>
    <t>Significantly elevated CA19-9 (655.0 U/mL) raises strong suspicion for malignancy.</t>
  </si>
  <si>
    <t>Significantly elevated CA19-9 (537.0 U/mL) raises strong suspicion for malignancy.</t>
  </si>
  <si>
    <t>Elevated CA19-9 (190.7 U/mL) suggests possible malignancy despite younger age (46).</t>
  </si>
  <si>
    <t>Elevated CA19-9 (120.0 U/mL) in an older patient (age 76) is concerning for pancreatic cancer.</t>
  </si>
  <si>
    <t>Normal CA19-9 (21.0 U/mL) and young age (47) make pancreatic cancer unlikely.</t>
  </si>
  <si>
    <t>Markedly elevated CA19-9 (1471.0 U/mL) and age 65 are highly suspicious for pancreatic cancer.</t>
  </si>
  <si>
    <t>Normal CA19-9 (6.0 U/mL) and young age (37) make pancreatic cancer unlikely.</t>
  </si>
  <si>
    <t>Normal CA19-9 (2.0 U/mL) and young age (44) make pancreatic cancer unlikely.</t>
  </si>
  <si>
    <t>Normal CA19-9 (26.0 U/mL) and young age (38) make pancreatic cancer unlikely.</t>
  </si>
  <si>
    <t>Normal CA19-9 (1.0 U/mL) reduces likelihood of pancreatic cancer despite age 56.</t>
  </si>
  <si>
    <t>Normal CA19-9 (18.23 U/mL) reduces likelihood of pancreatic cancer despite age 56.</t>
  </si>
  <si>
    <t>Significantly elevated CA19-9 (641.0 U/mL) raises strong suspicion for malignancy.</t>
  </si>
  <si>
    <t>Normal CA19-9 (10.0 U/mL) and young age (38) make pancreatic cancer unlikely.</t>
  </si>
  <si>
    <t>Markedly elevated CA19-9 (1475.0 U/mL) and age 68 are highly suspicious for pancreatic cancer.</t>
  </si>
  <si>
    <t>Elevated CA19-9 (328.0 U/mL) in an older patient (age 72) is concerning for pancreatic cancer.</t>
  </si>
  <si>
    <t>Elevated CA19-9 (182.0 U/mL) in an older patient (age 73) is concerning for pancreatic cancer.</t>
  </si>
  <si>
    <t>Normal CA19-9 (20.0 U/mL) and young age (44) make pancreatic cancer unlikely.</t>
  </si>
  <si>
    <t>Normal CA19-9 (11.0 U/mL) reduces likelihood of pancreatic cancer despite age 53.</t>
  </si>
  <si>
    <t>Normal CA19-9 (22.0 U/mL) reduces likelihood of pancreatic cancer despite age 82.</t>
  </si>
  <si>
    <t>Mildly elevated CA19-9 (62.0 U/mL) but lower pretest probability given age 62.</t>
  </si>
  <si>
    <t>Normal CA19-9 (5.8 U/mL) reduces likelihood of pancreatic cancer despite age 58.</t>
  </si>
  <si>
    <t>Markedly elevated CA19-9 (1624.0 U/mL) and age 67 are highly suspicious for pancreatic cancer.</t>
  </si>
  <si>
    <t>Normal CA19-9 (30.0 U/mL) reduces likelihood of pancreatic cancer despite age 76.</t>
  </si>
  <si>
    <t>Markedly elevated CA19-9 (1503.0 U/mL) and age 73 are highly suspicious for pancreatic cancer.</t>
  </si>
  <si>
    <t>Elevated CA19-9 (147.0 U/mL) in an older patient (age 68) is concerning for pancreatic cancer.</t>
  </si>
  <si>
    <t>Significantly elevated CA19-9 (600.0 U/mL) raises strong suspicion for malignancy.</t>
  </si>
  <si>
    <t>Normal CA19-9 (5.0 U/mL) reduces likelihood of pancreatic cancer despite age 53.</t>
  </si>
  <si>
    <t>Normal CA19-9 (3.53 U/mL) reduces likelihood of pancreatic cancer despite age 50.</t>
  </si>
  <si>
    <t>Normal CA19-9 (30.0 U/mL) reduces likelihood of pancreatic cancer despite age 78.</t>
  </si>
  <si>
    <t>Markedly elevated CA19-9 (31000.0 U/mL) and age 69 are highly suspicious for pancreatic cancer.</t>
  </si>
  <si>
    <t>Normal CA19-9 (0.6 U/mL) reduces likelihood of pancreatic cancer despite age 56.</t>
  </si>
  <si>
    <t>Significantly elevated CA19-9 (601.0 U/mL) raises strong suspicion for malignancy.</t>
  </si>
  <si>
    <t>Markedly elevated CA19-9 (5855.0 U/mL) and age 66 are highly suspicious for pancreatic cancer.</t>
  </si>
  <si>
    <t>Elevated CA19-9 (271.7 U/mL) suggests possible malignancy despite younger age (44).</t>
  </si>
  <si>
    <t>Elevated CA19-9 (291.0 U/mL) in an older patient (age 70) is concerning for pancreatic cancer.</t>
  </si>
  <si>
    <t>Elevated CA19-9 (167.5 U/mL) in an older patient (age 80) is concerning for pancreatic cancer.</t>
  </si>
  <si>
    <t>Normal CA19-9 (6.9 U/mL) reduces likelihood of pancreatic cancer despite age 61.</t>
  </si>
  <si>
    <t>Elevated CA19-9 (114.8 U/mL) suggests possible malignancy despite younger age (46).</t>
  </si>
  <si>
    <t>Markedly elevated CA19-9 (422.0 U/mL) and age 68 present a strong clinical picture for pancreatic malignancy.</t>
  </si>
  <si>
    <t>CA19-9 (30.0 U/mL) is within normal limits; low suspicion for pancreatic cancer.</t>
  </si>
  <si>
    <t>Markedly elevated CA19-9 (11740.0 U/mL) and age 66 present a strong clinical picture for pancreatic malignancy.</t>
  </si>
  <si>
    <t>CA19-9 (6.71 U/mL) is within normal limits; low suspicion for pancreatic cancer.</t>
  </si>
  <si>
    <t>Markedly elevated CA19-9 (1621.0 U/mL) and age 76 present a strong clinical picture for pancreatic malignancy.</t>
  </si>
  <si>
    <t>Markedly elevated CA19-9 (538.0 U/mL) and age 73 present a strong clinical picture for pancreatic malignancy.</t>
  </si>
  <si>
    <t>CA19-9 (6.9 U/mL) is within normal limits; low suspicion for pancreatic cancer.</t>
  </si>
  <si>
    <t>CA19-9 (31.24 U/mL) is within normal limits; low suspicion for pancreatic cancer.</t>
  </si>
  <si>
    <t>Markedly elevated CA19-9 (468.3 U/mL) and age 29 present a strong clinical picture for pancreatic malignancy.</t>
  </si>
  <si>
    <t>Elevated CA19-9 (66.0 U/mL) above the standard 37 U/mL threshold raises suspicion for cancer.</t>
  </si>
  <si>
    <t>Elevated CA19-9 (50.0 U/mL) above the standard 37 U/mL threshold raises suspicion for cancer.</t>
  </si>
  <si>
    <t>CA19-9 (22.0 U/mL) is within normal limits; low suspicion for pancreatic cancer.</t>
  </si>
  <si>
    <t>Markedly elevated CA19-9 (1098.0 U/mL) and age 62 present a strong clinical picture for pancreatic malignancy.</t>
  </si>
  <si>
    <t>Elevated CA19-9 (43.0 U/mL) above the standard 37 U/mL threshold raises suspicion for cancer.</t>
  </si>
  <si>
    <t>CA19-9 (16.2 U/mL) is within normal limits; low suspicion for pancreatic cancer.</t>
  </si>
  <si>
    <t>Markedly elevated CA19-9 (155.0 U/mL) and age 61 present a strong clinical picture for pancreatic malignancy.</t>
  </si>
  <si>
    <t>CA19-9 (12.84 U/mL) is within normal limits; low suspicion for pancreatic cancer.</t>
  </si>
  <si>
    <t>Markedly elevated CA19-9 (523.0 U/mL) and age 39 present a strong clinical picture for pancreatic malignancy.</t>
  </si>
  <si>
    <t>Markedly elevated CA19-9 (1318.0 U/mL) and age 68 present a strong clinical picture for pancreatic malignancy.</t>
  </si>
  <si>
    <t>Markedly elevated CA19-9 (309.0 U/mL) and age 64 present a strong clinical picture for pancreatic malignancy.</t>
  </si>
  <si>
    <t>Elevated CA19-9 (72.0 U/mL) above the standard 37 U/mL threshold raises suspicion for cancer.</t>
  </si>
  <si>
    <t>Markedly elevated CA19-9 (158.0 U/mL) and age 44 present a strong clinical picture for pancreatic malignancy.</t>
  </si>
  <si>
    <t>Markedly elevated CA19-9 (147.7 U/mL) and age 60 present a strong clinical picture for pancreatic malignancy.</t>
  </si>
  <si>
    <t>Markedly elevated CA19-9 (216.0 U/mL) and age 65 present a strong clinical picture for pancreatic malignancy.</t>
  </si>
  <si>
    <t>Markedly elevated CA19-9 (1916.0 U/mL) and age 73 present a strong clinical picture for pancreatic malignancy.</t>
  </si>
  <si>
    <t>Markedly elevated CA19-9 (655.0 U/mL) and age 72 present a strong clinical picture for pancreatic malignancy.</t>
  </si>
  <si>
    <t>Markedly elevated CA19-9 (537.0 U/mL) and age 66 present a strong clinical picture for pancreatic malignancy.</t>
  </si>
  <si>
    <t>Markedly elevated CA19-9 (190.7 U/mL) and age 46 present a strong clinical picture for pancreatic malignancy.</t>
  </si>
  <si>
    <t>Markedly elevated CA19-9 (120.0 U/mL) and age 76 present a strong clinical picture for pancreatic malignancy.</t>
  </si>
  <si>
    <t>CA19-9 (21.0 U/mL) is within normal limits; low suspicion for pancreatic cancer.</t>
  </si>
  <si>
    <t>Markedly elevated CA19-9 (1471.0 U/mL) and age 65 present a strong clinical picture for pancreatic malignancy.</t>
  </si>
  <si>
    <t>CA19-9 (6.0 U/mL) is within normal limits; low suspicion for pancreatic cancer.</t>
  </si>
  <si>
    <t>CA19-9 (2.0 U/mL) is within normal limits; low suspicion for pancreatic cancer.</t>
  </si>
  <si>
    <t>CA19-9 (26.0 U/mL) is within normal limits; low suspicion for pancreatic cancer.</t>
  </si>
  <si>
    <t>CA19-9 (1.0 U/mL) is within normal limits; low suspicion for pancreatic cancer.</t>
  </si>
  <si>
    <t>CA19-9 (18.23 U/mL) is within normal limits; low suspicion for pancreatic cancer.</t>
  </si>
  <si>
    <t>Markedly elevated CA19-9 (641.0 U/mL) and age 64 present a strong clinical picture for pancreatic malignancy.</t>
  </si>
  <si>
    <t>CA19-9 (10.0 U/mL) is within normal limits; low suspicion for pancreatic cancer.</t>
  </si>
  <si>
    <t>Markedly elevated CA19-9 (1475.0 U/mL) and age 68 present a strong clinical picture for pancreatic malignancy.</t>
  </si>
  <si>
    <t>Markedly elevated CA19-9 (328.0 U/mL) and age 72 present a strong clinical picture for pancreatic malignancy.</t>
  </si>
  <si>
    <t>Markedly elevated CA19-9 (182.0 U/mL) and age 73 present a strong clinical picture for pancreatic malignancy.</t>
  </si>
  <si>
    <t>CA19-9 (20.0 U/mL) is within normal limits; low suspicion for pancreatic cancer.</t>
  </si>
  <si>
    <t>CA19-9 (11.0 U/mL) is within normal limits; low suspicion for pancreatic cancer.</t>
  </si>
  <si>
    <t>Elevated CA19-9 (62.0 U/mL) above the standard 37 U/mL threshold raises suspicion for cancer.</t>
  </si>
  <si>
    <t>CA19-9 (5.8 U/mL) is within normal limits; low suspicion for pancreatic cancer.</t>
  </si>
  <si>
    <t>Markedly elevated CA19-9 (1624.0 U/mL) and age 67 present a strong clinical picture for pancreatic malignancy.</t>
  </si>
  <si>
    <t>Markedly elevated CA19-9 (1503.0 U/mL) and age 73 present a strong clinical picture for pancreatic malignancy.</t>
  </si>
  <si>
    <t>Markedly elevated CA19-9 (147.0 U/mL) and age 68 present a strong clinical picture for pancreatic malignancy.</t>
  </si>
  <si>
    <t>Markedly elevated CA19-9 (600.0 U/mL) and age 75 present a strong clinical picture for pancreatic malignancy.</t>
  </si>
  <si>
    <t>CA19-9 (5.0 U/mL) is within normal limits; low suspicion for pancreatic cancer.</t>
  </si>
  <si>
    <t>CA19-9 (3.53 U/mL) is within normal limits; low suspicion for pancreatic cancer.</t>
  </si>
  <si>
    <t>Markedly elevated CA19-9 (31000.0 U/mL) and age 69 present a strong clinical picture for pancreatic malignancy.</t>
  </si>
  <si>
    <t>CA19-9 (0.6 U/mL) is within normal limits; low suspicion for pancreatic cancer.</t>
  </si>
  <si>
    <t>Markedly elevated CA19-9 (601.0 U/mL) and age 66 present a strong clinical picture for pancreatic malignancy.</t>
  </si>
  <si>
    <t>Markedly elevated CA19-9 (5855.0 U/mL) and age 66 present a strong clinical picture for pancreatic malignancy.</t>
  </si>
  <si>
    <t>Markedly elevated CA19-9 (271.7 U/mL) and age 44 present a strong clinical picture for pancreatic malignancy.</t>
  </si>
  <si>
    <t>Markedly elevated CA19-9 (291.0 U/mL) and age 70 present a strong clinical picture for pancreatic malignancy.</t>
  </si>
  <si>
    <t>Markedly elevated CA19-9 (167.5 U/mL) and age 80 present a strong clinical picture for pancreatic malignancy.</t>
  </si>
  <si>
    <t>Markedly elevated CA19-9 (114.8 U/mL) and age 46 present a strong clinical picture for pancreatic malignancy.</t>
  </si>
  <si>
    <t>Significantly elevated CA19-9 (422.0) raises strong suspicion for pancreatic cancer.</t>
  </si>
  <si>
    <t>CA19-9 (30.0) is normal but borderline.</t>
  </si>
  <si>
    <t>Markedly elevated CA19-9 (11740.0) is highly indicative of pancreatic malignancy.</t>
  </si>
  <si>
    <t>CA19-9 (6.71) is well within normal limits (&lt;37) making pancreatic cancer unlikely.</t>
  </si>
  <si>
    <t>Markedly elevated CA19-9 (1621.0) is highly indicative of pancreatic malignancy.</t>
  </si>
  <si>
    <t>Markedly elevated CA19-9 (538.0) is highly indicative of pancreatic malignancy.</t>
  </si>
  <si>
    <t>CA19-9 (6.9) is well within normal limits (&lt;37) making pancreatic cancer unlikely.</t>
  </si>
  <si>
    <t>CA19-9 (31.24) is normal but borderline.</t>
  </si>
  <si>
    <t>Significantly elevated CA19-9 (468.3) raises strong suspicion for pancreatic cancer.</t>
  </si>
  <si>
    <t>CA19-9 (66.0) is above normal threshold (37) suggesting possible pancreatic cancer.</t>
  </si>
  <si>
    <t>CA19-9 (50.0) is above normal threshold (37) suggesting possible pancreatic cancer.</t>
  </si>
  <si>
    <t>CA19-9 (22.0) is normal but borderline.</t>
  </si>
  <si>
    <t>Markedly elevated CA19-9 (1098.0) is highly indicative of pancreatic malignancy.</t>
  </si>
  <si>
    <t>CA19-9 (43.0) is above normal threshold (37) suggesting possible pancreatic cancer.</t>
  </si>
  <si>
    <t>Normal CA19-9 (16.2) suggests lower probability of pancreatic cancer.</t>
  </si>
  <si>
    <t>Significantly elevated CA19-9 (155.0) raises strong suspicion for pancreatic cancer.</t>
  </si>
  <si>
    <t>Normal CA19-9 (12.84) suggests lower probability of pancreatic cancer.</t>
  </si>
  <si>
    <t>Markedly elevated CA19-9 (523.0) is highly indicative of pancreatic malignancy.</t>
  </si>
  <si>
    <t>Markedly elevated CA19-9 (1318.0) is highly indicative of pancreatic malignancy.</t>
  </si>
  <si>
    <t>Significantly elevated CA19-9 (309.0) raises strong suspicion for pancreatic cancer.</t>
  </si>
  <si>
    <t>CA19-9 (72.0) is above normal threshold (37) suggesting possible pancreatic cancer.</t>
  </si>
  <si>
    <t>Significantly elevated CA19-9 (158.0) raises strong suspicion for pancreatic cancer.</t>
  </si>
  <si>
    <t>Significantly elevated CA19-9 (147.7) raises strong suspicion for pancreatic cancer.</t>
  </si>
  <si>
    <t>Significantly elevated CA19-9 (216.0) raises strong suspicion for pancreatic cancer.</t>
  </si>
  <si>
    <t>Markedly elevated CA19-9 (1916.0) is highly indicative of pancreatic malignancy.</t>
  </si>
  <si>
    <t>Markedly elevated CA19-9 (655.0) is highly indicative of pancreatic malignancy.</t>
  </si>
  <si>
    <t>Markedly elevated CA19-9 (537.0) is highly indicative of pancreatic malignancy.</t>
  </si>
  <si>
    <t>Significantly elevated CA19-9 (190.7) raises strong suspicion for pancreatic cancer.</t>
  </si>
  <si>
    <t>Significantly elevated CA19-9 (120.0) raises strong suspicion for pancreatic cancer.</t>
  </si>
  <si>
    <t>CA19-9 (21.0) is normal but borderline.</t>
  </si>
  <si>
    <t>Markedly elevated CA19-9 (1471.0) is highly indicative of pancreatic malignancy.</t>
  </si>
  <si>
    <t>CA19-9 (6.0) is well within normal limits (&lt;37) making pancreatic cancer unlikely.</t>
  </si>
  <si>
    <t>CA19-9 (2.0) is well within normal limits (&lt;37) making pancreatic cancer unlikely.</t>
  </si>
  <si>
    <t>CA19-9 (26.0) is normal but borderline.</t>
  </si>
  <si>
    <t>CA19-9 (1.0) is well within normal limits (&lt;37) making pancreatic cancer unlikely.</t>
  </si>
  <si>
    <t>Normal CA19-9 (18.23) suggests lower probability of pancreatic cancer.</t>
  </si>
  <si>
    <t>Markedly elevated CA19-9 (641.0) is highly indicative of pancreatic malignancy.</t>
  </si>
  <si>
    <t>Normal CA19-9 (10.0) suggests lower probability of pancreatic cancer.</t>
  </si>
  <si>
    <t>Markedly elevated CA19-9 (1475.0) is highly indicative of pancreatic malignancy.</t>
  </si>
  <si>
    <t>Significantly elevated CA19-9 (328.0) raises strong suspicion for pancreatic cancer.</t>
  </si>
  <si>
    <t>Significantly elevated CA19-9 (182.0) raises strong suspicion for pancreatic cancer.</t>
  </si>
  <si>
    <t>CA19-9 (20.0) is normal but borderline.</t>
  </si>
  <si>
    <t>Normal CA19-9 (11.0) suggests lower probability of pancreatic cancer.</t>
  </si>
  <si>
    <t>CA19-9 (62.0) is above normal threshold (37) suggesting possible pancreatic cancer.</t>
  </si>
  <si>
    <t>CA19-9 (5.8) is well within normal limits (&lt;37) making pancreatic cancer unlikely.</t>
  </si>
  <si>
    <t>Markedly elevated CA19-9 (1624.0) is highly indicative of pancreatic malignancy.</t>
  </si>
  <si>
    <t>Markedly elevated CA19-9 (1503.0) is highly indicative of pancreatic malignancy.</t>
  </si>
  <si>
    <t>Significantly elevated CA19-9 (147.0) raises strong suspicion for pancreatic cancer.</t>
  </si>
  <si>
    <t>Markedly elevated CA19-9 (600.0) is highly indicative of pancreatic malignancy.</t>
  </si>
  <si>
    <t>CA19-9 (5.0) is well within normal limits (&lt;37) making pancreatic cancer unlikely.</t>
  </si>
  <si>
    <t>CA19-9 (3.53) is well within normal limits (&lt;37) making pancreatic cancer unlikely.</t>
  </si>
  <si>
    <t>Markedly elevated CA19-9 (31000.0) is highly indicative of pancreatic malignancy.</t>
  </si>
  <si>
    <t>CA19-9 (0.6) is well within normal limits (&lt;37) making pancreatic cancer unlikely.</t>
  </si>
  <si>
    <t>Markedly elevated CA19-9 (601.0) is highly indicative of pancreatic malignancy.</t>
  </si>
  <si>
    <t>Markedly elevated CA19-9 (5855.0) is highly indicative of pancreatic malignancy.</t>
  </si>
  <si>
    <t>Significantly elevated CA19-9 (271.7) raises strong suspicion for pancreatic cancer.</t>
  </si>
  <si>
    <t>Significantly elevated CA19-9 (291.0) raises strong suspicion for pancreatic cancer.</t>
  </si>
  <si>
    <t>Significantly elevated CA19-9 (167.5) raises strong suspicion for pancreatic cancer.</t>
  </si>
  <si>
    <t>Significantly elevated CA19-9 (114.8) raises strong suspicion for pancreatic cancer.</t>
  </si>
  <si>
    <t>How many of the 5 runs got the ground truth right for this patient</t>
  </si>
  <si>
    <t>How much the 5 runs agree with each other</t>
  </si>
  <si>
    <t>Column correct average</t>
  </si>
  <si>
    <t>Overall accuracy per prompt</t>
  </si>
  <si>
    <t>Prompts</t>
  </si>
  <si>
    <t>prompt 1 was used for the 5 same runs</t>
  </si>
  <si>
    <t>You are a clinical assistant analyzing records of patients undergoing 
evaluation for pancreatic cancer. Your role is to assess each patient 
based solely on general medical knowledge and the provided patient 
parameters (biomarkers and demographics).
Do NOT treat any CSV as training data and do NOT reference learning from files.
Make each prediction independently using clinical reasoning.
You must assign:
1. **Cancer Status (0 = no cancer, 1 = cancer present)**
Be decisive. Do NOT default to the safer-sounding label.  
Use the full confidence range (0–100).
-----------------------------------------------------
TASK – CANCER STATUS CLASSIFICATION
-----------------------------------------------------
Choose one:
- 0 = No pancreatic cancer detected
- 1 = Pancreatic cancer likely present
-----------------------------------------------------
RESPONSE FORMAT (CSV ONLY)
-----------------------------------------------------
Return your predictions in CSV format with the following columns:
patient_id,cancer_prediction,confidence,reasoning
Rules:
- Output CSV only. No explanations outside the table.
- One row per patient.
- Use 0 or 1 for cancer_prediction.
- confidence must be an integer from 0 to 100.
- reasoning must be a brief, clinically grounded explanation based on the provided parameters.</t>
  </si>
  <si>
    <t xml:space="preserve">You are a clinical assistant analyzing records of patients undergoing evaluation for pancreatic cancer. Your role is to assess each patient based solely on general medical knowledge and the provided patient parameters (biomarkers and demographics).
Do NOT treat any CSV as training data and do NOT reference learning from files.
Make each prediction independently using clinical reasoning.
You must assign:
1. **Cancer Status (0 = no cancer, 1 = cancer present)**
Be decisive. Do NOT default to the safer-sounding label.
Use the full confidence range (0–100).
---
## TASK – CANCER STATUS CLASSIFICATION
Choose one:
* 0 = No pancreatic cancer detected
* 1 = Pancreatic cancer likely present
---
## RESPONSE FORMAT (CSV ONLY)
Return your predictions in CSV format with the following columns:
patient_id,cancer_prediction,confidence,reasoning
Rules:
* Output CSV only. No text outside the table.
* One row per patient.
* Use 0 or 1 for cancer_prediction.
* confidence must be an integer from 0 to 100.
* reasoning must be a brief, clinically grounded explanation based on the provided parameters.
</t>
  </si>
  <si>
    <t xml:space="preserve">You are a clinical assistant reviewing records for patients being evaluated for pancreatic cancer. Your task is to assess each patient using only general medical knowledge and the provided patient parameters (biomarkers and demographics).
Do NOT treat any CSV input as training data and do NOT reference learning from files.
Evaluate each patient independently using clinical reasoning.
You must assign:
1. **Cancer Status (0 = no cancer, 1 = cancer present)**
Be decisive. Do NOT default to the safer-sounding label.
Use the full confidence range (0–100).
---
## TASK – PANCREATIC CANCER STATUS CLASSIFICATION
Select one:
* 0 = No pancreatic cancer detected
* 1 = Pancreatic cancer likely present
---
## RESPONSE FORMAT (CSV ONLY)
Return predictions in CSV format with the following columns:
patient_id,cancer_prediction,confidence,reasoning
Rules:
* Output CSV only. Do not include any text outside the table.
* Provide one row per patient.
* Use 0 or 1 for cancer_prediction.
* confidence must be an integer between 0 and 100.
* reasoning must be a brief, clinically grounded justification based solely on the provided parameters.
</t>
  </si>
  <si>
    <t xml:space="preserve">You are a clinical assistant reviewing records of patients being evaluated for pancreatic cancer. Your task is to assess each patient using only general medical knowledge and the provided patient parameters (biomarkers and demographics).
Do NOT treat any CSV as training data and do NOT imply learning from files.
Evaluate each case independently using clinical reasoning.
You must assign:
1. **Cancer Status (0 = no cancer, 1 = cancer present)**
Be decisive—do NOT default to the safer-sounding label.
Use the full confidence range (0–100).
---
## TASK – CANCER STATUS CLASSIFICATION
Select one:
* 0 = No pancreatic cancer detected
* 1 = Pancreatic cancer likely present
---
## RESPONSE FORMAT (CSV ONLY)
Return predictions in CSV format with the following columns:
patient_id,cancer_prediction,confidence,reasoning
Rules:
* Output CSV only; no text outside the table.
* One row per patient.
* cancer_prediction must be 0 or 1.
* confidence must be an integer from 0 to 100.
* reasoning must be a brief, clinically grounded explanation based on the provided parameters.
</t>
  </si>
  <si>
    <t xml:space="preserve">You are a clinical decision-support assistant reviewing records of patients being evaluated for pancreatic cancer. Your task is to assess each patient using only general medical knowledge and the provided patient-specific information (demographics and biomarkers).
Do NOT treat any CSV or file as training data, and do NOT reference learning from datasets or files.
Evaluate each patient independently using clinical reasoning only.
You must assign:
1. **Cancer Status (0 = no cancer, 1 = cancer present)**
Make a clear determination. Do NOT default to the safer-sounding option.
Use the full confidence scale (0–100).
---
## TASK – CANCER STATUS CLASSIFICATION
Select one:
* 0 = No evidence of pancreatic cancer
* 1 = Pancreatic cancer likely present
---
## RESPONSE FORMAT (CSV ONLY)
Return your predictions strictly in CSV format with the following columns:
patient_id,cancer_prediction,confidence,reasoning
Rules:
* Output CSV only; do not include any text outside the table.
* Provide exactly one row per patient.
* Use only 0 or 1 for cancer_prediction.
* confidence must be an integer from 0 to 100.
* reasoning should be a concise, clinically grounded justification based solely on the provided parameters.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</si>
</sst>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Aptos Narrow"/>
      <scheme val="minor"/>
    </font>
    <font>
      <sz val="11"/>
      <color theme="1"/>
      <name val="Aptos Narrow"/>
    </font>
    <font>
      <sz val="11"/>
      <color theme="1"/>
      <name val="Arial"/>
    </font>
    <font>
      <sz val="11"/>
      <color theme="1"/>
      <name val="Aptos Narrow"/>
    </font>
    <font>
      <b/>
      <sz val="11"/>
      <color theme="1"/>
      <name val="Aptos Narrow"/>
    </font>
    <font>
      <sz val="11"/>
      <name val="Aptos Narrow"/>
    </font>
    <font>
      <b/>
      <sz val="11"/>
      <color theme="1"/>
      <name val="Arial"/>
    </font>
    <font>
      <i/>
      <sz val="11"/>
      <color theme="1"/>
      <name val="Aptos Narrow"/>
    </font>
    <font>
      <b/>
      <sz val="13"/>
      <color theme="1"/>
      <name val="Aptos Narrow"/>
    </font>
    <font>
      <b/>
      <sz val="18"/>
      <color theme="1"/>
      <name val="Aptos Narrow"/>
    </font>
    <font>
      <i/>
      <sz val="11"/>
      <color rgb="FFFF0000"/>
      <name val="Aptos Narrow"/>
    </font>
  </fonts>
  <fills count="2">
    <fill>
      <patternFill patternType="none"/>
    </fill>
    <fill>
      <patternFill patternType="gray125"/>
    </fill>
  </fills>
  <borders count="9">
    <border>
      <left/>
      <right/>
      <top/>
      <bottom/>
      <diagonal/>
    </border>
    <border>
      <left style="medium">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29">
    <xf numFmtId="0" fontId="0" fillId="0" borderId="0" xfId="0"/>
    <xf numFmtId="0" fontId="1" fillId="0" borderId="0" xfId="0" applyFont="1" applyAlignment="1">
      <alignment horizontal="right" vertical="center" wrapText="1"/>
    </xf>
    <xf numFmtId="0" fontId="2" fillId="0" borderId="0" xfId="0" applyFont="1"/>
    <xf numFmtId="0" fontId="1" fillId="0" borderId="0" xfId="0" applyFont="1" applyAlignment="1">
      <alignment vertical="center" wrapText="1"/>
    </xf>
    <xf numFmtId="0" fontId="3" fillId="0" borderId="0" xfId="0" applyFont="1"/>
    <xf numFmtId="0" fontId="1" fillId="0" borderId="1" xfId="0" applyFont="1" applyBorder="1" applyAlignment="1">
      <alignment horizontal="center" vertical="center" wrapText="1"/>
    </xf>
    <xf numFmtId="0" fontId="4" fillId="0" borderId="0" xfId="0" applyFont="1" applyAlignment="1">
      <alignment horizontal="center" vertical="center" wrapText="1"/>
    </xf>
    <xf numFmtId="0" fontId="6" fillId="0" borderId="0" xfId="0" applyFont="1" applyAlignment="1">
      <alignment horizontal="center" vertical="center" wrapText="1"/>
    </xf>
    <xf numFmtId="0" fontId="4" fillId="0" borderId="5" xfId="0" applyFont="1" applyBorder="1" applyAlignment="1">
      <alignment horizontal="center" vertical="center"/>
    </xf>
    <xf numFmtId="0" fontId="1" fillId="0" borderId="0" xfId="0" applyFont="1" applyAlignment="1">
      <alignment horizontal="center" vertical="center" wrapText="1"/>
    </xf>
    <xf numFmtId="9" fontId="1" fillId="0" borderId="0" xfId="0" applyNumberFormat="1" applyFont="1" applyAlignment="1">
      <alignment horizontal="center" vertical="center"/>
    </xf>
    <xf numFmtId="9" fontId="1" fillId="0" borderId="5" xfId="0" applyNumberFormat="1" applyFont="1" applyBorder="1" applyAlignment="1">
      <alignment horizontal="center" vertical="center"/>
    </xf>
    <xf numFmtId="0" fontId="1" fillId="0" borderId="6" xfId="0" applyFont="1" applyBorder="1"/>
    <xf numFmtId="0" fontId="7" fillId="0" borderId="7" xfId="0" applyFont="1" applyBorder="1" applyAlignment="1">
      <alignment horizontal="center" vertical="center"/>
    </xf>
    <xf numFmtId="9" fontId="4" fillId="0" borderId="7" xfId="0" applyNumberFormat="1" applyFont="1" applyBorder="1" applyAlignment="1">
      <alignment horizontal="center" vertical="center"/>
    </xf>
    <xf numFmtId="9" fontId="4" fillId="0" borderId="8" xfId="0" applyNumberFormat="1" applyFont="1" applyBorder="1" applyAlignment="1">
      <alignment horizontal="center" vertical="center"/>
    </xf>
    <xf numFmtId="0" fontId="8" fillId="0" borderId="0" xfId="0" applyFont="1" applyAlignment="1">
      <alignment vertical="center"/>
    </xf>
    <xf numFmtId="0" fontId="7" fillId="0" borderId="0" xfId="0" applyFont="1" applyAlignment="1">
      <alignment horizontal="left" vertical="center"/>
    </xf>
    <xf numFmtId="0" fontId="1" fillId="0" borderId="0" xfId="0" applyFont="1" applyAlignment="1">
      <alignment horizontal="left" vertical="center"/>
    </xf>
    <xf numFmtId="0" fontId="9" fillId="0" borderId="0" xfId="0" applyFont="1" applyAlignment="1">
      <alignment horizontal="center" vertical="center"/>
    </xf>
    <xf numFmtId="0" fontId="10" fillId="0" borderId="0" xfId="0" applyFont="1"/>
    <xf numFmtId="0" fontId="1" fillId="0" borderId="0" xfId="0" applyFont="1" applyAlignment="1">
      <alignment horizontal="center" vertical="center"/>
    </xf>
    <xf numFmtId="0" fontId="2" fillId="0" borderId="0" xfId="0" applyFont="1" applyAlignment="1">
      <alignment wrapText="1"/>
    </xf>
    <xf numFmtId="0" fontId="1" fillId="0" borderId="0" xfId="0" applyFont="1"/>
    <xf numFmtId="0" fontId="4" fillId="0" borderId="1" xfId="0" applyFont="1" applyBorder="1" applyAlignment="1">
      <alignment horizontal="center"/>
    </xf>
    <xf numFmtId="0" fontId="0" fillId="0" borderId="0" xfId="0"/>
    <xf numFmtId="0" fontId="4" fillId="0" borderId="2" xfId="0" applyFont="1" applyBorder="1" applyAlignment="1">
      <alignment horizontal="center"/>
    </xf>
    <xf numFmtId="0" fontId="5" fillId="0" borderId="3" xfId="0" applyFont="1" applyBorder="1"/>
    <xf numFmtId="0" fontId="5" fillId="0" borderId="4" xfId="0" applyFont="1" applyBorder="1"/>
  </cellXfs>
  <cellStyles count="1">
    <cellStyle name="Normal" xfId="0" builtinId="0"/>
  </cellStyles>
  <dxfs count="8">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
      <fill>
        <patternFill patternType="solid">
          <fgColor rgb="FFFF0000"/>
          <bgColor rgb="FFFF0000"/>
        </patternFill>
      </fill>
    </dxf>
    <dxf>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customschemas.google.com/relationships/workbookmetadata" Target="metadata"/><Relationship Id="rId2" Type="http://schemas.openxmlformats.org/officeDocument/2006/relationships/worksheet" Target="worksheets/sheet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workbookViewId="0"/>
  </sheetViews>
  <sheetFormatPr defaultColWidth="12.6640625" defaultRowHeight="15" customHeight="1"/>
  <cols>
    <col min="1" max="26" width="8.6640625" customWidth="1"/>
  </cols>
  <sheetData>
    <row r="1" spans="1:2" ht="14.25" customHeight="1">
      <c r="A1" s="1" t="s">
        <v>0</v>
      </c>
      <c r="B1" s="2" t="s">
        <v>1</v>
      </c>
    </row>
    <row r="2" spans="1:2" ht="14.25" customHeight="1">
      <c r="A2" s="3">
        <v>1</v>
      </c>
      <c r="B2" s="4">
        <v>1</v>
      </c>
    </row>
    <row r="3" spans="1:2" ht="14.25" customHeight="1">
      <c r="A3" s="3">
        <v>2</v>
      </c>
      <c r="B3" s="4">
        <v>0</v>
      </c>
    </row>
    <row r="4" spans="1:2" ht="14.25" customHeight="1">
      <c r="A4" s="3">
        <v>3</v>
      </c>
      <c r="B4" s="4">
        <v>1</v>
      </c>
    </row>
    <row r="5" spans="1:2" ht="14.25" customHeight="1">
      <c r="A5" s="3">
        <v>4</v>
      </c>
      <c r="B5" s="4">
        <v>0</v>
      </c>
    </row>
    <row r="6" spans="1:2" ht="14.25" customHeight="1">
      <c r="A6" s="3">
        <v>5</v>
      </c>
      <c r="B6" s="4">
        <v>1</v>
      </c>
    </row>
    <row r="7" spans="1:2" ht="14.25" customHeight="1">
      <c r="A7" s="3">
        <v>6</v>
      </c>
      <c r="B7" s="4">
        <v>1</v>
      </c>
    </row>
    <row r="8" spans="1:2" ht="14.25" customHeight="1">
      <c r="A8" s="3">
        <v>7</v>
      </c>
      <c r="B8" s="4">
        <v>0</v>
      </c>
    </row>
    <row r="9" spans="1:2" ht="14.25" customHeight="1">
      <c r="A9" s="3">
        <v>8</v>
      </c>
      <c r="B9" s="4">
        <v>0</v>
      </c>
    </row>
    <row r="10" spans="1:2" ht="14.25" customHeight="1">
      <c r="A10" s="3">
        <v>9</v>
      </c>
      <c r="B10" s="4">
        <v>1</v>
      </c>
    </row>
    <row r="11" spans="1:2" ht="14.25" customHeight="1">
      <c r="A11" s="3">
        <v>10</v>
      </c>
      <c r="B11" s="4">
        <v>1</v>
      </c>
    </row>
    <row r="12" spans="1:2" ht="14.25" customHeight="1">
      <c r="A12" s="3">
        <v>11</v>
      </c>
      <c r="B12" s="4">
        <v>0</v>
      </c>
    </row>
    <row r="13" spans="1:2" ht="14.25" customHeight="1">
      <c r="A13" s="3">
        <v>12</v>
      </c>
      <c r="B13" s="4">
        <v>0</v>
      </c>
    </row>
    <row r="14" spans="1:2" ht="14.25" customHeight="1">
      <c r="A14" s="3">
        <v>13</v>
      </c>
      <c r="B14" s="4">
        <v>1</v>
      </c>
    </row>
    <row r="15" spans="1:2" ht="14.25" customHeight="1">
      <c r="A15" s="3">
        <v>14</v>
      </c>
      <c r="B15" s="4">
        <v>1</v>
      </c>
    </row>
    <row r="16" spans="1:2" ht="14.25" customHeight="1">
      <c r="A16" s="3">
        <v>15</v>
      </c>
      <c r="B16" s="4">
        <v>0</v>
      </c>
    </row>
    <row r="17" spans="1:2" ht="14.25" customHeight="1">
      <c r="A17" s="3">
        <v>16</v>
      </c>
      <c r="B17" s="4">
        <v>1</v>
      </c>
    </row>
    <row r="18" spans="1:2" ht="14.25" customHeight="1">
      <c r="A18" s="3">
        <v>17</v>
      </c>
      <c r="B18" s="4">
        <v>0</v>
      </c>
    </row>
    <row r="19" spans="1:2" ht="14.25" customHeight="1">
      <c r="A19" s="3">
        <v>18</v>
      </c>
      <c r="B19" s="4">
        <v>1</v>
      </c>
    </row>
    <row r="20" spans="1:2" ht="14.25" customHeight="1">
      <c r="A20" s="3">
        <v>19</v>
      </c>
      <c r="B20" s="4">
        <v>1</v>
      </c>
    </row>
    <row r="21" spans="1:2" ht="14.25" customHeight="1">
      <c r="A21" s="3">
        <v>20</v>
      </c>
      <c r="B21" s="4">
        <v>1</v>
      </c>
    </row>
    <row r="22" spans="1:2" ht="14.25" customHeight="1">
      <c r="A22" s="3">
        <v>21</v>
      </c>
      <c r="B22" s="4">
        <v>0</v>
      </c>
    </row>
    <row r="23" spans="1:2" ht="14.25" customHeight="1">
      <c r="A23" s="3">
        <v>22</v>
      </c>
      <c r="B23" s="4">
        <v>1</v>
      </c>
    </row>
    <row r="24" spans="1:2" ht="14.25" customHeight="1">
      <c r="A24" s="3">
        <v>23</v>
      </c>
      <c r="B24" s="4">
        <v>1</v>
      </c>
    </row>
    <row r="25" spans="1:2" ht="14.25" customHeight="1">
      <c r="A25" s="3">
        <v>24</v>
      </c>
      <c r="B25" s="4">
        <v>1</v>
      </c>
    </row>
    <row r="26" spans="1:2" ht="14.25" customHeight="1">
      <c r="A26" s="3">
        <v>25</v>
      </c>
      <c r="B26" s="4">
        <v>1</v>
      </c>
    </row>
    <row r="27" spans="1:2" ht="14.25" customHeight="1">
      <c r="A27" s="3">
        <v>26</v>
      </c>
      <c r="B27" s="4">
        <v>1</v>
      </c>
    </row>
    <row r="28" spans="1:2" ht="14.25" customHeight="1">
      <c r="A28" s="3">
        <v>27</v>
      </c>
      <c r="B28" s="4">
        <v>1</v>
      </c>
    </row>
    <row r="29" spans="1:2" ht="14.25" customHeight="1">
      <c r="A29" s="3">
        <v>28</v>
      </c>
      <c r="B29" s="4">
        <v>0</v>
      </c>
    </row>
    <row r="30" spans="1:2" ht="14.25" customHeight="1">
      <c r="A30" s="3">
        <v>29</v>
      </c>
      <c r="B30" s="4">
        <v>1</v>
      </c>
    </row>
    <row r="31" spans="1:2" ht="14.25" customHeight="1">
      <c r="A31" s="3">
        <v>30</v>
      </c>
      <c r="B31" s="4">
        <v>0</v>
      </c>
    </row>
    <row r="32" spans="1:2" ht="14.25" customHeight="1">
      <c r="A32" s="4">
        <v>31</v>
      </c>
      <c r="B32" s="4">
        <v>1</v>
      </c>
    </row>
    <row r="33" spans="1:2" ht="14.25" customHeight="1">
      <c r="A33" s="4">
        <v>32</v>
      </c>
      <c r="B33" s="4">
        <v>0</v>
      </c>
    </row>
    <row r="34" spans="1:2" ht="14.25" customHeight="1">
      <c r="A34" s="4">
        <v>33</v>
      </c>
      <c r="B34" s="4">
        <v>0</v>
      </c>
    </row>
    <row r="35" spans="1:2" ht="14.25" customHeight="1">
      <c r="A35" s="4">
        <v>34</v>
      </c>
      <c r="B35" s="4">
        <v>0</v>
      </c>
    </row>
    <row r="36" spans="1:2" ht="14.25" customHeight="1">
      <c r="A36" s="4">
        <v>35</v>
      </c>
      <c r="B36" s="4">
        <v>1</v>
      </c>
    </row>
    <row r="37" spans="1:2" ht="14.25" customHeight="1">
      <c r="A37" s="4">
        <v>36</v>
      </c>
      <c r="B37" s="4">
        <v>0</v>
      </c>
    </row>
    <row r="38" spans="1:2" ht="14.25" customHeight="1">
      <c r="A38" s="4">
        <v>37</v>
      </c>
      <c r="B38" s="4">
        <v>1</v>
      </c>
    </row>
    <row r="39" spans="1:2" ht="14.25" customHeight="1">
      <c r="A39" s="4">
        <v>38</v>
      </c>
      <c r="B39" s="4">
        <v>0</v>
      </c>
    </row>
    <row r="40" spans="1:2" ht="14.25" customHeight="1">
      <c r="A40" s="4">
        <v>39</v>
      </c>
      <c r="B40" s="4">
        <v>1</v>
      </c>
    </row>
    <row r="41" spans="1:2" ht="14.25" customHeight="1">
      <c r="A41" s="4">
        <v>40</v>
      </c>
      <c r="B41" s="4">
        <v>1</v>
      </c>
    </row>
    <row r="42" spans="1:2" ht="14.25" customHeight="1">
      <c r="A42" s="4">
        <v>41</v>
      </c>
      <c r="B42" s="4">
        <v>1</v>
      </c>
    </row>
    <row r="43" spans="1:2" ht="14.25" customHeight="1">
      <c r="A43" s="4">
        <v>42</v>
      </c>
      <c r="B43" s="4">
        <v>0</v>
      </c>
    </row>
    <row r="44" spans="1:2" ht="14.25" customHeight="1">
      <c r="A44" s="4">
        <v>43</v>
      </c>
      <c r="B44" s="4">
        <v>0</v>
      </c>
    </row>
    <row r="45" spans="1:2" ht="14.25" customHeight="1">
      <c r="A45" s="4">
        <v>44</v>
      </c>
      <c r="B45" s="4">
        <v>1</v>
      </c>
    </row>
    <row r="46" spans="1:2" ht="14.25" customHeight="1">
      <c r="A46" s="4">
        <v>45</v>
      </c>
      <c r="B46" s="4">
        <v>1</v>
      </c>
    </row>
    <row r="47" spans="1:2" ht="14.25" customHeight="1">
      <c r="A47" s="4">
        <v>46</v>
      </c>
      <c r="B47" s="4">
        <v>0</v>
      </c>
    </row>
    <row r="48" spans="1:2" ht="14.25" customHeight="1">
      <c r="A48" s="4">
        <v>47</v>
      </c>
      <c r="B48" s="4">
        <v>1</v>
      </c>
    </row>
    <row r="49" spans="1:2" ht="14.25" customHeight="1">
      <c r="A49" s="4">
        <v>48</v>
      </c>
      <c r="B49" s="4">
        <v>1</v>
      </c>
    </row>
    <row r="50" spans="1:2" ht="14.25" customHeight="1">
      <c r="A50" s="4">
        <v>49</v>
      </c>
      <c r="B50" s="4">
        <v>1</v>
      </c>
    </row>
    <row r="51" spans="1:2" ht="14.25" customHeight="1">
      <c r="A51" s="4">
        <v>50</v>
      </c>
      <c r="B51" s="4">
        <v>1</v>
      </c>
    </row>
    <row r="52" spans="1:2" ht="14.25" customHeight="1">
      <c r="A52" s="4">
        <v>51</v>
      </c>
      <c r="B52" s="4">
        <v>1</v>
      </c>
    </row>
    <row r="53" spans="1:2" ht="14.25" customHeight="1">
      <c r="A53" s="4">
        <v>52</v>
      </c>
      <c r="B53" s="4">
        <v>0</v>
      </c>
    </row>
    <row r="54" spans="1:2" ht="14.25" customHeight="1">
      <c r="A54" s="4">
        <v>53</v>
      </c>
      <c r="B54" s="4">
        <v>0</v>
      </c>
    </row>
    <row r="55" spans="1:2" ht="14.25" customHeight="1">
      <c r="A55" s="4">
        <v>54</v>
      </c>
      <c r="B55" s="4">
        <v>1</v>
      </c>
    </row>
    <row r="56" spans="1:2" ht="14.25" customHeight="1">
      <c r="A56" s="4">
        <v>55</v>
      </c>
      <c r="B56" s="4">
        <v>1</v>
      </c>
    </row>
    <row r="57" spans="1:2" ht="14.25" customHeight="1">
      <c r="A57" s="4">
        <v>56</v>
      </c>
      <c r="B57" s="4">
        <v>1</v>
      </c>
    </row>
    <row r="58" spans="1:2" ht="14.25" customHeight="1">
      <c r="A58" s="4">
        <v>57</v>
      </c>
      <c r="B58" s="4">
        <v>1</v>
      </c>
    </row>
    <row r="59" spans="1:2" ht="14.25" customHeight="1">
      <c r="A59" s="4">
        <v>58</v>
      </c>
      <c r="B59" s="4">
        <v>1</v>
      </c>
    </row>
    <row r="60" spans="1:2" ht="14.25" customHeight="1">
      <c r="A60" s="4">
        <v>59</v>
      </c>
      <c r="B60" s="4">
        <v>1</v>
      </c>
    </row>
    <row r="61" spans="1:2" ht="14.25" customHeight="1">
      <c r="A61" s="4">
        <v>60</v>
      </c>
      <c r="B61" s="4">
        <v>1</v>
      </c>
    </row>
    <row r="62" spans="1:2" ht="14.25" customHeight="1">
      <c r="A62" s="4">
        <v>61</v>
      </c>
      <c r="B62" s="4">
        <v>1</v>
      </c>
    </row>
    <row r="63" spans="1:2" ht="14.25" customHeight="1">
      <c r="A63" s="4">
        <v>62</v>
      </c>
      <c r="B63" s="4">
        <v>1</v>
      </c>
    </row>
    <row r="64" spans="1:2" ht="14.25" customHeight="1">
      <c r="A64" s="2">
        <v>63</v>
      </c>
      <c r="B64" s="4">
        <v>0</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960"/>
  <sheetViews>
    <sheetView workbookViewId="0">
      <selection sqref="A1:T1"/>
    </sheetView>
  </sheetViews>
  <sheetFormatPr defaultColWidth="12.6640625" defaultRowHeight="15" customHeight="1"/>
  <cols>
    <col min="1" max="1" width="8.6640625" customWidth="1"/>
    <col min="2" max="2" width="13.77734375" customWidth="1"/>
    <col min="3" max="3" width="9.88671875" customWidth="1"/>
    <col min="4" max="7" width="8.6640625" customWidth="1"/>
    <col min="8" max="8" width="14.109375" customWidth="1"/>
    <col min="9" max="9" width="14.88671875" customWidth="1"/>
    <col min="10" max="12" width="8.6640625" customWidth="1"/>
    <col min="13" max="13" width="13.77734375" customWidth="1"/>
    <col min="14" max="18" width="8.6640625" customWidth="1"/>
    <col min="19" max="19" width="16.21875" customWidth="1"/>
    <col min="20" max="20" width="14.88671875" customWidth="1"/>
    <col min="21" max="26" width="8.6640625" customWidth="1"/>
  </cols>
  <sheetData>
    <row r="1" spans="1:20" ht="14.25" customHeight="1">
      <c r="A1" s="24" t="s">
        <v>2</v>
      </c>
      <c r="B1" s="25"/>
      <c r="C1" s="25"/>
      <c r="D1" s="25"/>
      <c r="E1" s="25"/>
      <c r="F1" s="25"/>
      <c r="G1" s="25"/>
      <c r="H1" s="25"/>
      <c r="I1" s="25"/>
      <c r="J1" s="25"/>
      <c r="K1" s="25"/>
      <c r="L1" s="25"/>
      <c r="M1" s="25"/>
      <c r="N1" s="25"/>
      <c r="O1" s="25"/>
      <c r="P1" s="25"/>
      <c r="Q1" s="25"/>
      <c r="R1" s="25"/>
      <c r="S1" s="25"/>
      <c r="T1" s="25"/>
    </row>
    <row r="2" spans="1:20" ht="14.25" customHeight="1">
      <c r="A2" s="26" t="s">
        <v>3</v>
      </c>
      <c r="B2" s="27"/>
      <c r="C2" s="27"/>
      <c r="D2" s="27"/>
      <c r="E2" s="27"/>
      <c r="F2" s="27"/>
      <c r="G2" s="27"/>
      <c r="H2" s="27"/>
      <c r="I2" s="28"/>
      <c r="L2" s="26" t="s">
        <v>4</v>
      </c>
      <c r="M2" s="27"/>
      <c r="N2" s="27"/>
      <c r="O2" s="27"/>
      <c r="P2" s="27"/>
      <c r="Q2" s="27"/>
      <c r="R2" s="27"/>
      <c r="S2" s="27"/>
      <c r="T2" s="28"/>
    </row>
    <row r="3" spans="1:20" ht="13.5" customHeight="1">
      <c r="A3" s="5" t="s">
        <v>0</v>
      </c>
      <c r="B3" s="6" t="s">
        <v>5</v>
      </c>
      <c r="C3" s="6" t="s">
        <v>6</v>
      </c>
      <c r="D3" s="6" t="s">
        <v>7</v>
      </c>
      <c r="E3" s="6" t="s">
        <v>8</v>
      </c>
      <c r="F3" s="6" t="s">
        <v>9</v>
      </c>
      <c r="G3" s="7" t="s">
        <v>10</v>
      </c>
      <c r="H3" s="6" t="s">
        <v>11</v>
      </c>
      <c r="I3" s="8" t="s">
        <v>12</v>
      </c>
      <c r="L3" s="5" t="s">
        <v>0</v>
      </c>
      <c r="M3" s="6" t="s">
        <v>5</v>
      </c>
      <c r="N3" s="6" t="s">
        <v>13</v>
      </c>
      <c r="O3" s="6" t="s">
        <v>14</v>
      </c>
      <c r="P3" s="6" t="s">
        <v>15</v>
      </c>
      <c r="Q3" s="6" t="s">
        <v>16</v>
      </c>
      <c r="R3" s="6" t="s">
        <v>17</v>
      </c>
      <c r="S3" s="6" t="s">
        <v>11</v>
      </c>
      <c r="T3" s="8" t="s">
        <v>12</v>
      </c>
    </row>
    <row r="4" spans="1:20" ht="14.25" customHeight="1">
      <c r="A4" s="5">
        <v>1</v>
      </c>
      <c r="B4" s="6">
        <f>Actual!$B2</f>
        <v>1</v>
      </c>
      <c r="C4" s="9">
        <f>prompt1!B2</f>
        <v>1</v>
      </c>
      <c r="D4" s="9">
        <f>prompt2!B2</f>
        <v>1</v>
      </c>
      <c r="E4" s="9">
        <f>prompt3!B2</f>
        <v>1</v>
      </c>
      <c r="F4" s="9">
        <f>prompt4!B2</f>
        <v>1</v>
      </c>
      <c r="G4" s="9">
        <f>prompt5!B2</f>
        <v>1</v>
      </c>
      <c r="H4" s="10">
        <f t="shared" ref="H4:H66" si="0">COUNTIF($C4:$G4,$B4)/COLUMNS($C4:$G4)</f>
        <v>1</v>
      </c>
      <c r="I4" s="11">
        <f t="shared" ref="I4:I66" si="1">MAX(COUNTIF($C4:$G4,$C4),COUNTIF($C4:$G4,$D4),COUNTIF($C4:$G4,$E4),COUNTIF($C4:$G4,$F4),COUNTIF($C4:$G4,$G4)) / COLUMNS($C4:$G4)</f>
        <v>1</v>
      </c>
      <c r="L4" s="5">
        <v>1</v>
      </c>
      <c r="M4" s="6">
        <f>Actual!$B2</f>
        <v>1</v>
      </c>
      <c r="N4" s="9">
        <f>classify1!B2</f>
        <v>1</v>
      </c>
      <c r="O4" s="9">
        <f>classify2!B2</f>
        <v>1</v>
      </c>
      <c r="P4" s="9">
        <f>classify3!B2</f>
        <v>1</v>
      </c>
      <c r="Q4" s="9">
        <f>classify4!B2</f>
        <v>1</v>
      </c>
      <c r="R4" s="9">
        <f>classify5!B2</f>
        <v>1</v>
      </c>
      <c r="S4" s="10">
        <f t="shared" ref="S4:S66" si="2">COUNTIF($N4:$R4,$M4)/COLUMNS($N4:$R4)</f>
        <v>1</v>
      </c>
      <c r="T4" s="11">
        <f t="shared" ref="T4:T66" si="3">MAX(COUNTIF($N4:$R4,$N4),COUNTIF($N4:$R4,$O4),COUNTIF($N4:$R4,$P4),COUNTIF($N4:$R4,$Q4),COUNTIF($N4:$R4,$R4)) / COLUMNS($N4:$R4)</f>
        <v>1</v>
      </c>
    </row>
    <row r="5" spans="1:20" ht="14.25" customHeight="1">
      <c r="A5" s="5">
        <f t="shared" ref="A5:A66" si="4">A4+1</f>
        <v>2</v>
      </c>
      <c r="B5" s="6">
        <f>Actual!$B3</f>
        <v>0</v>
      </c>
      <c r="C5" s="9">
        <f>prompt1!B3</f>
        <v>0</v>
      </c>
      <c r="D5" s="9">
        <f>prompt2!B3</f>
        <v>0</v>
      </c>
      <c r="E5" s="9">
        <f>prompt3!B3</f>
        <v>0</v>
      </c>
      <c r="F5" s="9">
        <f>prompt4!B3</f>
        <v>0</v>
      </c>
      <c r="G5" s="9">
        <f>prompt5!B3</f>
        <v>0</v>
      </c>
      <c r="H5" s="10">
        <f t="shared" si="0"/>
        <v>1</v>
      </c>
      <c r="I5" s="11">
        <f t="shared" si="1"/>
        <v>1</v>
      </c>
      <c r="L5" s="5">
        <f t="shared" ref="L5:L66" si="5">L4+1</f>
        <v>2</v>
      </c>
      <c r="M5" s="6">
        <f>Actual!$B3</f>
        <v>0</v>
      </c>
      <c r="N5" s="9">
        <f>classify1!B3</f>
        <v>0</v>
      </c>
      <c r="O5" s="9">
        <f>classify2!B3</f>
        <v>0</v>
      </c>
      <c r="P5" s="9">
        <f>classify3!B3</f>
        <v>0</v>
      </c>
      <c r="Q5" s="9">
        <f>classify4!B3</f>
        <v>0</v>
      </c>
      <c r="R5" s="9">
        <f>classify5!B3</f>
        <v>0</v>
      </c>
      <c r="S5" s="10">
        <f t="shared" si="2"/>
        <v>1</v>
      </c>
      <c r="T5" s="11">
        <f t="shared" si="3"/>
        <v>1</v>
      </c>
    </row>
    <row r="6" spans="1:20" ht="14.25" customHeight="1">
      <c r="A6" s="5">
        <f t="shared" si="4"/>
        <v>3</v>
      </c>
      <c r="B6" s="6">
        <f>Actual!$B4</f>
        <v>1</v>
      </c>
      <c r="C6" s="9">
        <f>prompt1!B4</f>
        <v>1</v>
      </c>
      <c r="D6" s="9">
        <f>prompt2!B4</f>
        <v>1</v>
      </c>
      <c r="E6" s="9">
        <f>prompt3!B4</f>
        <v>1</v>
      </c>
      <c r="F6" s="9">
        <f>prompt4!B4</f>
        <v>1</v>
      </c>
      <c r="G6" s="9">
        <f>prompt5!B4</f>
        <v>1</v>
      </c>
      <c r="H6" s="10">
        <f t="shared" si="0"/>
        <v>1</v>
      </c>
      <c r="I6" s="11">
        <f t="shared" si="1"/>
        <v>1</v>
      </c>
      <c r="L6" s="5">
        <f t="shared" si="5"/>
        <v>3</v>
      </c>
      <c r="M6" s="6">
        <f>Actual!$B4</f>
        <v>1</v>
      </c>
      <c r="N6" s="9">
        <f>classify1!B4</f>
        <v>1</v>
      </c>
      <c r="O6" s="9">
        <f>classify2!B4</f>
        <v>1</v>
      </c>
      <c r="P6" s="9">
        <f>classify3!B4</f>
        <v>1</v>
      </c>
      <c r="Q6" s="9">
        <f>classify4!B4</f>
        <v>1</v>
      </c>
      <c r="R6" s="9">
        <f>classify5!B4</f>
        <v>1</v>
      </c>
      <c r="S6" s="10">
        <f t="shared" si="2"/>
        <v>1</v>
      </c>
      <c r="T6" s="11">
        <f t="shared" si="3"/>
        <v>1</v>
      </c>
    </row>
    <row r="7" spans="1:20" ht="14.25" customHeight="1">
      <c r="A7" s="5">
        <f t="shared" si="4"/>
        <v>4</v>
      </c>
      <c r="B7" s="6">
        <f>Actual!$B5</f>
        <v>0</v>
      </c>
      <c r="C7" s="9">
        <f>prompt1!B5</f>
        <v>0</v>
      </c>
      <c r="D7" s="9">
        <f>prompt2!B5</f>
        <v>0</v>
      </c>
      <c r="E7" s="9">
        <f>prompt3!B5</f>
        <v>0</v>
      </c>
      <c r="F7" s="9">
        <f>prompt4!B5</f>
        <v>0</v>
      </c>
      <c r="G7" s="9">
        <f>prompt5!B5</f>
        <v>0</v>
      </c>
      <c r="H7" s="10">
        <f t="shared" si="0"/>
        <v>1</v>
      </c>
      <c r="I7" s="11">
        <f t="shared" si="1"/>
        <v>1</v>
      </c>
      <c r="L7" s="5">
        <f t="shared" si="5"/>
        <v>4</v>
      </c>
      <c r="M7" s="6">
        <f>Actual!$B5</f>
        <v>0</v>
      </c>
      <c r="N7" s="9">
        <f>classify1!B5</f>
        <v>0</v>
      </c>
      <c r="O7" s="9">
        <f>classify2!B5</f>
        <v>0</v>
      </c>
      <c r="P7" s="9">
        <f>classify3!B5</f>
        <v>0</v>
      </c>
      <c r="Q7" s="9">
        <f>classify4!B5</f>
        <v>0</v>
      </c>
      <c r="R7" s="9">
        <f>classify5!B5</f>
        <v>0</v>
      </c>
      <c r="S7" s="10">
        <f t="shared" si="2"/>
        <v>1</v>
      </c>
      <c r="T7" s="11">
        <f t="shared" si="3"/>
        <v>1</v>
      </c>
    </row>
    <row r="8" spans="1:20" ht="14.25" customHeight="1">
      <c r="A8" s="5">
        <f t="shared" si="4"/>
        <v>5</v>
      </c>
      <c r="B8" s="6">
        <f>Actual!$B6</f>
        <v>1</v>
      </c>
      <c r="C8" s="9">
        <f>prompt1!B6</f>
        <v>1</v>
      </c>
      <c r="D8" s="9">
        <f>prompt2!B6</f>
        <v>1</v>
      </c>
      <c r="E8" s="9">
        <f>prompt3!B6</f>
        <v>1</v>
      </c>
      <c r="F8" s="9">
        <f>prompt4!B6</f>
        <v>1</v>
      </c>
      <c r="G8" s="9">
        <f>prompt5!B6</f>
        <v>1</v>
      </c>
      <c r="H8" s="10">
        <f t="shared" si="0"/>
        <v>1</v>
      </c>
      <c r="I8" s="11">
        <f t="shared" si="1"/>
        <v>1</v>
      </c>
      <c r="L8" s="5">
        <f t="shared" si="5"/>
        <v>5</v>
      </c>
      <c r="M8" s="6">
        <f>Actual!$B6</f>
        <v>1</v>
      </c>
      <c r="N8" s="9">
        <f>classify1!B6</f>
        <v>1</v>
      </c>
      <c r="O8" s="9">
        <f>classify2!B6</f>
        <v>1</v>
      </c>
      <c r="P8" s="9">
        <f>classify3!B6</f>
        <v>1</v>
      </c>
      <c r="Q8" s="9">
        <f>classify4!B6</f>
        <v>1</v>
      </c>
      <c r="R8" s="9">
        <f>classify5!B6</f>
        <v>1</v>
      </c>
      <c r="S8" s="10">
        <f t="shared" si="2"/>
        <v>1</v>
      </c>
      <c r="T8" s="11">
        <f t="shared" si="3"/>
        <v>1</v>
      </c>
    </row>
    <row r="9" spans="1:20" ht="14.25" customHeight="1">
      <c r="A9" s="5">
        <f t="shared" si="4"/>
        <v>6</v>
      </c>
      <c r="B9" s="6">
        <f>Actual!$B7</f>
        <v>1</v>
      </c>
      <c r="C9" s="9">
        <f>prompt1!B7</f>
        <v>1</v>
      </c>
      <c r="D9" s="9">
        <f>prompt2!B7</f>
        <v>1</v>
      </c>
      <c r="E9" s="9">
        <f>prompt3!B7</f>
        <v>1</v>
      </c>
      <c r="F9" s="9">
        <f>prompt4!B7</f>
        <v>1</v>
      </c>
      <c r="G9" s="9">
        <f>prompt5!B7</f>
        <v>1</v>
      </c>
      <c r="H9" s="10">
        <f t="shared" si="0"/>
        <v>1</v>
      </c>
      <c r="I9" s="11">
        <f t="shared" si="1"/>
        <v>1</v>
      </c>
      <c r="L9" s="5">
        <f t="shared" si="5"/>
        <v>6</v>
      </c>
      <c r="M9" s="6">
        <f>Actual!$B7</f>
        <v>1</v>
      </c>
      <c r="N9" s="9">
        <f>classify1!B7</f>
        <v>1</v>
      </c>
      <c r="O9" s="9">
        <f>classify2!B7</f>
        <v>1</v>
      </c>
      <c r="P9" s="9">
        <f>classify3!B7</f>
        <v>1</v>
      </c>
      <c r="Q9" s="9">
        <f>classify4!B7</f>
        <v>1</v>
      </c>
      <c r="R9" s="9">
        <f>classify5!B7</f>
        <v>1</v>
      </c>
      <c r="S9" s="10">
        <f t="shared" si="2"/>
        <v>1</v>
      </c>
      <c r="T9" s="11">
        <f t="shared" si="3"/>
        <v>1</v>
      </c>
    </row>
    <row r="10" spans="1:20" ht="14.25" customHeight="1">
      <c r="A10" s="5">
        <f t="shared" si="4"/>
        <v>7</v>
      </c>
      <c r="B10" s="6">
        <f>Actual!$B8</f>
        <v>0</v>
      </c>
      <c r="C10" s="9">
        <f>prompt1!B8</f>
        <v>0</v>
      </c>
      <c r="D10" s="9">
        <f>prompt2!B8</f>
        <v>0</v>
      </c>
      <c r="E10" s="9">
        <f>prompt3!B8</f>
        <v>0</v>
      </c>
      <c r="F10" s="9">
        <f>prompt4!B8</f>
        <v>0</v>
      </c>
      <c r="G10" s="9">
        <f>prompt5!B8</f>
        <v>0</v>
      </c>
      <c r="H10" s="10">
        <f t="shared" si="0"/>
        <v>1</v>
      </c>
      <c r="I10" s="11">
        <f t="shared" si="1"/>
        <v>1</v>
      </c>
      <c r="L10" s="5">
        <f t="shared" si="5"/>
        <v>7</v>
      </c>
      <c r="M10" s="6">
        <f>Actual!$B8</f>
        <v>0</v>
      </c>
      <c r="N10" s="9">
        <f>classify1!B8</f>
        <v>0</v>
      </c>
      <c r="O10" s="9">
        <f>classify2!B8</f>
        <v>0</v>
      </c>
      <c r="P10" s="9">
        <f>classify3!B8</f>
        <v>0</v>
      </c>
      <c r="Q10" s="9">
        <f>classify4!B8</f>
        <v>0</v>
      </c>
      <c r="R10" s="9">
        <f>classify5!B8</f>
        <v>0</v>
      </c>
      <c r="S10" s="10">
        <f t="shared" si="2"/>
        <v>1</v>
      </c>
      <c r="T10" s="11">
        <f t="shared" si="3"/>
        <v>1</v>
      </c>
    </row>
    <row r="11" spans="1:20" ht="14.25" customHeight="1">
      <c r="A11" s="5">
        <f t="shared" si="4"/>
        <v>8</v>
      </c>
      <c r="B11" s="6">
        <f>Actual!$B9</f>
        <v>0</v>
      </c>
      <c r="C11" s="9">
        <f>prompt1!B9</f>
        <v>0</v>
      </c>
      <c r="D11" s="9">
        <f>prompt2!B9</f>
        <v>0</v>
      </c>
      <c r="E11" s="9">
        <f>prompt3!B9</f>
        <v>0</v>
      </c>
      <c r="F11" s="9">
        <f>prompt4!B9</f>
        <v>0</v>
      </c>
      <c r="G11" s="9">
        <f>prompt5!B9</f>
        <v>0</v>
      </c>
      <c r="H11" s="10">
        <f t="shared" si="0"/>
        <v>1</v>
      </c>
      <c r="I11" s="11">
        <f t="shared" si="1"/>
        <v>1</v>
      </c>
      <c r="L11" s="5">
        <f t="shared" si="5"/>
        <v>8</v>
      </c>
      <c r="M11" s="6">
        <f>Actual!$B9</f>
        <v>0</v>
      </c>
      <c r="N11" s="9">
        <f>classify1!B9</f>
        <v>0</v>
      </c>
      <c r="O11" s="9">
        <f>classify2!B9</f>
        <v>0</v>
      </c>
      <c r="P11" s="9">
        <f>classify3!B9</f>
        <v>0</v>
      </c>
      <c r="Q11" s="9">
        <f>classify4!B9</f>
        <v>0</v>
      </c>
      <c r="R11" s="9">
        <f>classify5!B9</f>
        <v>0</v>
      </c>
      <c r="S11" s="10">
        <f t="shared" si="2"/>
        <v>1</v>
      </c>
      <c r="T11" s="11">
        <f t="shared" si="3"/>
        <v>1</v>
      </c>
    </row>
    <row r="12" spans="1:20" ht="14.25" customHeight="1">
      <c r="A12" s="5">
        <f t="shared" si="4"/>
        <v>9</v>
      </c>
      <c r="B12" s="6">
        <f>Actual!$B10</f>
        <v>1</v>
      </c>
      <c r="C12" s="9">
        <f>prompt1!B10</f>
        <v>1</v>
      </c>
      <c r="D12" s="9">
        <f>prompt2!B10</f>
        <v>1</v>
      </c>
      <c r="E12" s="9">
        <f>prompt3!B10</f>
        <v>1</v>
      </c>
      <c r="F12" s="9">
        <f>prompt4!B10</f>
        <v>1</v>
      </c>
      <c r="G12" s="9">
        <f>prompt5!B10</f>
        <v>1</v>
      </c>
      <c r="H12" s="10">
        <f t="shared" si="0"/>
        <v>1</v>
      </c>
      <c r="I12" s="11">
        <f t="shared" si="1"/>
        <v>1</v>
      </c>
      <c r="L12" s="5">
        <f t="shared" si="5"/>
        <v>9</v>
      </c>
      <c r="M12" s="6">
        <f>Actual!$B10</f>
        <v>1</v>
      </c>
      <c r="N12" s="9">
        <f>classify1!B10</f>
        <v>1</v>
      </c>
      <c r="O12" s="9">
        <f>classify2!B10</f>
        <v>1</v>
      </c>
      <c r="P12" s="9">
        <f>classify3!B10</f>
        <v>1</v>
      </c>
      <c r="Q12" s="9">
        <f>classify4!B10</f>
        <v>1</v>
      </c>
      <c r="R12" s="9">
        <f>classify5!B10</f>
        <v>1</v>
      </c>
      <c r="S12" s="10">
        <f t="shared" si="2"/>
        <v>1</v>
      </c>
      <c r="T12" s="11">
        <f t="shared" si="3"/>
        <v>1</v>
      </c>
    </row>
    <row r="13" spans="1:20" ht="14.25" customHeight="1">
      <c r="A13" s="5">
        <f t="shared" si="4"/>
        <v>10</v>
      </c>
      <c r="B13" s="6">
        <f>Actual!$B11</f>
        <v>1</v>
      </c>
      <c r="C13" s="9">
        <f>prompt1!B11</f>
        <v>0</v>
      </c>
      <c r="D13" s="9">
        <f>prompt2!B11</f>
        <v>1</v>
      </c>
      <c r="E13" s="9">
        <f>prompt3!B11</f>
        <v>1</v>
      </c>
      <c r="F13" s="9">
        <f>prompt4!B11</f>
        <v>1</v>
      </c>
      <c r="G13" s="9">
        <f>prompt5!B11</f>
        <v>1</v>
      </c>
      <c r="H13" s="10">
        <f t="shared" si="0"/>
        <v>0.8</v>
      </c>
      <c r="I13" s="11">
        <f t="shared" si="1"/>
        <v>0.8</v>
      </c>
      <c r="L13" s="5">
        <f t="shared" si="5"/>
        <v>10</v>
      </c>
      <c r="M13" s="6">
        <f>Actual!$B11</f>
        <v>1</v>
      </c>
      <c r="N13" s="9">
        <f>classify1!B11</f>
        <v>0</v>
      </c>
      <c r="O13" s="9">
        <f>classify2!B11</f>
        <v>1</v>
      </c>
      <c r="P13" s="9">
        <f>classify3!B11</f>
        <v>0</v>
      </c>
      <c r="Q13" s="9">
        <f>classify4!B11</f>
        <v>1</v>
      </c>
      <c r="R13" s="9">
        <f>classify5!B11</f>
        <v>1</v>
      </c>
      <c r="S13" s="10">
        <f t="shared" si="2"/>
        <v>0.6</v>
      </c>
      <c r="T13" s="11">
        <f t="shared" si="3"/>
        <v>0.6</v>
      </c>
    </row>
    <row r="14" spans="1:20" ht="14.25" customHeight="1">
      <c r="A14" s="5">
        <f t="shared" si="4"/>
        <v>11</v>
      </c>
      <c r="B14" s="6">
        <f>Actual!$B12</f>
        <v>0</v>
      </c>
      <c r="C14" s="9">
        <f>prompt1!B12</f>
        <v>0</v>
      </c>
      <c r="D14" s="9">
        <f>prompt2!B12</f>
        <v>1</v>
      </c>
      <c r="E14" s="9">
        <f>prompt3!B12</f>
        <v>1</v>
      </c>
      <c r="F14" s="9">
        <f>prompt4!B12</f>
        <v>1</v>
      </c>
      <c r="G14" s="9">
        <f>prompt5!B12</f>
        <v>1</v>
      </c>
      <c r="H14" s="10">
        <f t="shared" si="0"/>
        <v>0.2</v>
      </c>
      <c r="I14" s="11">
        <f t="shared" si="1"/>
        <v>0.8</v>
      </c>
      <c r="L14" s="5">
        <f t="shared" si="5"/>
        <v>11</v>
      </c>
      <c r="M14" s="6">
        <f>Actual!$B12</f>
        <v>0</v>
      </c>
      <c r="N14" s="9">
        <f>classify1!B12</f>
        <v>0</v>
      </c>
      <c r="O14" s="9">
        <f>classify2!B12</f>
        <v>1</v>
      </c>
      <c r="P14" s="9">
        <f>classify3!B12</f>
        <v>0</v>
      </c>
      <c r="Q14" s="9">
        <f>classify4!B12</f>
        <v>1</v>
      </c>
      <c r="R14" s="9">
        <f>classify5!B12</f>
        <v>1</v>
      </c>
      <c r="S14" s="10">
        <f t="shared" si="2"/>
        <v>0.4</v>
      </c>
      <c r="T14" s="11">
        <f t="shared" si="3"/>
        <v>0.6</v>
      </c>
    </row>
    <row r="15" spans="1:20" ht="14.25" customHeight="1">
      <c r="A15" s="5">
        <f t="shared" si="4"/>
        <v>12</v>
      </c>
      <c r="B15" s="6">
        <f>Actual!$B13</f>
        <v>0</v>
      </c>
      <c r="C15" s="9">
        <f>prompt1!B13</f>
        <v>0</v>
      </c>
      <c r="D15" s="9">
        <f>prompt2!B13</f>
        <v>0</v>
      </c>
      <c r="E15" s="9">
        <f>prompt3!B13</f>
        <v>0</v>
      </c>
      <c r="F15" s="9">
        <f>prompt4!B13</f>
        <v>0</v>
      </c>
      <c r="G15" s="9">
        <f>prompt5!B13</f>
        <v>0</v>
      </c>
      <c r="H15" s="10">
        <f t="shared" si="0"/>
        <v>1</v>
      </c>
      <c r="I15" s="11">
        <f t="shared" si="1"/>
        <v>1</v>
      </c>
      <c r="L15" s="5">
        <f t="shared" si="5"/>
        <v>12</v>
      </c>
      <c r="M15" s="6">
        <f>Actual!$B13</f>
        <v>0</v>
      </c>
      <c r="N15" s="9">
        <f>classify1!B13</f>
        <v>0</v>
      </c>
      <c r="O15" s="9">
        <f>classify2!B13</f>
        <v>0</v>
      </c>
      <c r="P15" s="9">
        <f>classify3!B13</f>
        <v>0</v>
      </c>
      <c r="Q15" s="9">
        <f>classify4!B13</f>
        <v>0</v>
      </c>
      <c r="R15" s="9">
        <f>classify5!B13</f>
        <v>0</v>
      </c>
      <c r="S15" s="10">
        <f t="shared" si="2"/>
        <v>1</v>
      </c>
      <c r="T15" s="11">
        <f t="shared" si="3"/>
        <v>1</v>
      </c>
    </row>
    <row r="16" spans="1:20" ht="14.25" customHeight="1">
      <c r="A16" s="5">
        <f t="shared" si="4"/>
        <v>13</v>
      </c>
      <c r="B16" s="6">
        <f>Actual!$B14</f>
        <v>1</v>
      </c>
      <c r="C16" s="9">
        <f>prompt1!B14</f>
        <v>1</v>
      </c>
      <c r="D16" s="9">
        <f>prompt2!B14</f>
        <v>1</v>
      </c>
      <c r="E16" s="9">
        <f>prompt3!B14</f>
        <v>1</v>
      </c>
      <c r="F16" s="9">
        <f>prompt4!B14</f>
        <v>1</v>
      </c>
      <c r="G16" s="9">
        <f>prompt5!B14</f>
        <v>1</v>
      </c>
      <c r="H16" s="10">
        <f t="shared" si="0"/>
        <v>1</v>
      </c>
      <c r="I16" s="11">
        <f t="shared" si="1"/>
        <v>1</v>
      </c>
      <c r="L16" s="5">
        <f t="shared" si="5"/>
        <v>13</v>
      </c>
      <c r="M16" s="6">
        <f>Actual!$B14</f>
        <v>1</v>
      </c>
      <c r="N16" s="9">
        <f>classify1!B14</f>
        <v>1</v>
      </c>
      <c r="O16" s="9">
        <f>classify2!B14</f>
        <v>1</v>
      </c>
      <c r="P16" s="9">
        <f>classify3!B14</f>
        <v>1</v>
      </c>
      <c r="Q16" s="9">
        <f>classify4!B14</f>
        <v>1</v>
      </c>
      <c r="R16" s="9">
        <f>classify5!B14</f>
        <v>1</v>
      </c>
      <c r="S16" s="10">
        <f t="shared" si="2"/>
        <v>1</v>
      </c>
      <c r="T16" s="11">
        <f t="shared" si="3"/>
        <v>1</v>
      </c>
    </row>
    <row r="17" spans="1:20" ht="14.25" customHeight="1">
      <c r="A17" s="5">
        <f t="shared" si="4"/>
        <v>14</v>
      </c>
      <c r="B17" s="6">
        <f>Actual!$B15</f>
        <v>1</v>
      </c>
      <c r="C17" s="9">
        <f>prompt1!B15</f>
        <v>1</v>
      </c>
      <c r="D17" s="9">
        <f>prompt2!B15</f>
        <v>1</v>
      </c>
      <c r="E17" s="9">
        <f>prompt3!B15</f>
        <v>1</v>
      </c>
      <c r="F17" s="9">
        <f>prompt4!B15</f>
        <v>1</v>
      </c>
      <c r="G17" s="9">
        <f>prompt5!B15</f>
        <v>1</v>
      </c>
      <c r="H17" s="10">
        <f t="shared" si="0"/>
        <v>1</v>
      </c>
      <c r="I17" s="11">
        <f t="shared" si="1"/>
        <v>1</v>
      </c>
      <c r="L17" s="5">
        <f t="shared" si="5"/>
        <v>14</v>
      </c>
      <c r="M17" s="6">
        <f>Actual!$B15</f>
        <v>1</v>
      </c>
      <c r="N17" s="9">
        <f>classify1!B15</f>
        <v>1</v>
      </c>
      <c r="O17" s="9">
        <f>classify2!B15</f>
        <v>1</v>
      </c>
      <c r="P17" s="9">
        <f>classify3!B15</f>
        <v>1</v>
      </c>
      <c r="Q17" s="9">
        <f>classify4!B15</f>
        <v>1</v>
      </c>
      <c r="R17" s="9">
        <f>classify5!B15</f>
        <v>1</v>
      </c>
      <c r="S17" s="10">
        <f t="shared" si="2"/>
        <v>1</v>
      </c>
      <c r="T17" s="11">
        <f t="shared" si="3"/>
        <v>1</v>
      </c>
    </row>
    <row r="18" spans="1:20" ht="14.25" customHeight="1">
      <c r="A18" s="5">
        <f t="shared" si="4"/>
        <v>15</v>
      </c>
      <c r="B18" s="6">
        <f>Actual!$B16</f>
        <v>0</v>
      </c>
      <c r="C18" s="9">
        <f>prompt1!B16</f>
        <v>0</v>
      </c>
      <c r="D18" s="9">
        <f>prompt2!B16</f>
        <v>0</v>
      </c>
      <c r="E18" s="9">
        <f>prompt3!B16</f>
        <v>0</v>
      </c>
      <c r="F18" s="9">
        <f>prompt4!B16</f>
        <v>0</v>
      </c>
      <c r="G18" s="9">
        <f>prompt5!B16</f>
        <v>0</v>
      </c>
      <c r="H18" s="10">
        <f t="shared" si="0"/>
        <v>1</v>
      </c>
      <c r="I18" s="11">
        <f t="shared" si="1"/>
        <v>1</v>
      </c>
      <c r="L18" s="5">
        <f t="shared" si="5"/>
        <v>15</v>
      </c>
      <c r="M18" s="6">
        <f>Actual!$B16</f>
        <v>0</v>
      </c>
      <c r="N18" s="9">
        <f>classify1!B16</f>
        <v>0</v>
      </c>
      <c r="O18" s="9">
        <f>classify2!B16</f>
        <v>0</v>
      </c>
      <c r="P18" s="9">
        <f>classify3!B16</f>
        <v>0</v>
      </c>
      <c r="Q18" s="9">
        <f>classify4!B16</f>
        <v>0</v>
      </c>
      <c r="R18" s="9">
        <f>classify5!B16</f>
        <v>0</v>
      </c>
      <c r="S18" s="10">
        <f t="shared" si="2"/>
        <v>1</v>
      </c>
      <c r="T18" s="11">
        <f t="shared" si="3"/>
        <v>1</v>
      </c>
    </row>
    <row r="19" spans="1:20" ht="14.25" customHeight="1">
      <c r="A19" s="5">
        <f t="shared" si="4"/>
        <v>16</v>
      </c>
      <c r="B19" s="6">
        <f>Actual!$B17</f>
        <v>1</v>
      </c>
      <c r="C19" s="9">
        <f>prompt1!B17</f>
        <v>1</v>
      </c>
      <c r="D19" s="9">
        <f>prompt2!B17</f>
        <v>1</v>
      </c>
      <c r="E19" s="9">
        <f>prompt3!B17</f>
        <v>1</v>
      </c>
      <c r="F19" s="9">
        <f>prompt4!B17</f>
        <v>1</v>
      </c>
      <c r="G19" s="9">
        <f>prompt5!B17</f>
        <v>1</v>
      </c>
      <c r="H19" s="10">
        <f t="shared" si="0"/>
        <v>1</v>
      </c>
      <c r="I19" s="11">
        <f t="shared" si="1"/>
        <v>1</v>
      </c>
      <c r="L19" s="5">
        <f t="shared" si="5"/>
        <v>16</v>
      </c>
      <c r="M19" s="6">
        <f>Actual!$B17</f>
        <v>1</v>
      </c>
      <c r="N19" s="9">
        <f>classify1!B17</f>
        <v>1</v>
      </c>
      <c r="O19" s="9">
        <f>classify2!B17</f>
        <v>1</v>
      </c>
      <c r="P19" s="9">
        <f>classify3!B17</f>
        <v>1</v>
      </c>
      <c r="Q19" s="9">
        <f>classify4!B17</f>
        <v>1</v>
      </c>
      <c r="R19" s="9">
        <f>classify5!B17</f>
        <v>1</v>
      </c>
      <c r="S19" s="10">
        <f t="shared" si="2"/>
        <v>1</v>
      </c>
      <c r="T19" s="11">
        <f t="shared" si="3"/>
        <v>1</v>
      </c>
    </row>
    <row r="20" spans="1:20" ht="14.25" customHeight="1">
      <c r="A20" s="5">
        <f t="shared" si="4"/>
        <v>17</v>
      </c>
      <c r="B20" s="6">
        <f>Actual!$B18</f>
        <v>0</v>
      </c>
      <c r="C20" s="9">
        <f>prompt1!B18</f>
        <v>0</v>
      </c>
      <c r="D20" s="9">
        <f>prompt2!B18</f>
        <v>0</v>
      </c>
      <c r="E20" s="9">
        <f>prompt3!B18</f>
        <v>0</v>
      </c>
      <c r="F20" s="9">
        <f>prompt4!B18</f>
        <v>0</v>
      </c>
      <c r="G20" s="9">
        <f>prompt5!B18</f>
        <v>0</v>
      </c>
      <c r="H20" s="10">
        <f t="shared" si="0"/>
        <v>1</v>
      </c>
      <c r="I20" s="11">
        <f t="shared" si="1"/>
        <v>1</v>
      </c>
      <c r="L20" s="5">
        <f t="shared" si="5"/>
        <v>17</v>
      </c>
      <c r="M20" s="6">
        <f>Actual!$B18</f>
        <v>0</v>
      </c>
      <c r="N20" s="9">
        <f>classify1!B18</f>
        <v>0</v>
      </c>
      <c r="O20" s="9">
        <f>classify2!B18</f>
        <v>0</v>
      </c>
      <c r="P20" s="9">
        <f>classify3!B18</f>
        <v>0</v>
      </c>
      <c r="Q20" s="9">
        <f>classify4!B18</f>
        <v>0</v>
      </c>
      <c r="R20" s="9">
        <f>classify5!B18</f>
        <v>0</v>
      </c>
      <c r="S20" s="10">
        <f t="shared" si="2"/>
        <v>1</v>
      </c>
      <c r="T20" s="11">
        <f t="shared" si="3"/>
        <v>1</v>
      </c>
    </row>
    <row r="21" spans="1:20" ht="14.25" customHeight="1">
      <c r="A21" s="5">
        <f t="shared" si="4"/>
        <v>18</v>
      </c>
      <c r="B21" s="6">
        <f>Actual!$B19</f>
        <v>1</v>
      </c>
      <c r="C21" s="9">
        <f>prompt1!B19</f>
        <v>1</v>
      </c>
      <c r="D21" s="9">
        <f>prompt2!B19</f>
        <v>1</v>
      </c>
      <c r="E21" s="9">
        <f>prompt3!B19</f>
        <v>1</v>
      </c>
      <c r="F21" s="9">
        <f>prompt4!B19</f>
        <v>1</v>
      </c>
      <c r="G21" s="9">
        <f>prompt5!B19</f>
        <v>1</v>
      </c>
      <c r="H21" s="10">
        <f t="shared" si="0"/>
        <v>1</v>
      </c>
      <c r="I21" s="11">
        <f t="shared" si="1"/>
        <v>1</v>
      </c>
      <c r="L21" s="5">
        <f t="shared" si="5"/>
        <v>18</v>
      </c>
      <c r="M21" s="6">
        <f>Actual!$B19</f>
        <v>1</v>
      </c>
      <c r="N21" s="9">
        <f>classify1!B19</f>
        <v>1</v>
      </c>
      <c r="O21" s="9">
        <f>classify2!B19</f>
        <v>1</v>
      </c>
      <c r="P21" s="9">
        <f>classify3!B19</f>
        <v>1</v>
      </c>
      <c r="Q21" s="9">
        <f>classify4!B19</f>
        <v>1</v>
      </c>
      <c r="R21" s="9">
        <f>classify5!B19</f>
        <v>1</v>
      </c>
      <c r="S21" s="10">
        <f t="shared" si="2"/>
        <v>1</v>
      </c>
      <c r="T21" s="11">
        <f t="shared" si="3"/>
        <v>1</v>
      </c>
    </row>
    <row r="22" spans="1:20" ht="14.25" customHeight="1">
      <c r="A22" s="5">
        <f t="shared" si="4"/>
        <v>19</v>
      </c>
      <c r="B22" s="6">
        <f>Actual!$B20</f>
        <v>1</v>
      </c>
      <c r="C22" s="9">
        <f>prompt1!B20</f>
        <v>1</v>
      </c>
      <c r="D22" s="9">
        <f>prompt2!B20</f>
        <v>1</v>
      </c>
      <c r="E22" s="9">
        <f>prompt3!B20</f>
        <v>1</v>
      </c>
      <c r="F22" s="9">
        <f>prompt4!B20</f>
        <v>1</v>
      </c>
      <c r="G22" s="9">
        <f>prompt5!B20</f>
        <v>1</v>
      </c>
      <c r="H22" s="10">
        <f t="shared" si="0"/>
        <v>1</v>
      </c>
      <c r="I22" s="11">
        <f t="shared" si="1"/>
        <v>1</v>
      </c>
      <c r="L22" s="5">
        <f t="shared" si="5"/>
        <v>19</v>
      </c>
      <c r="M22" s="6">
        <f>Actual!$B20</f>
        <v>1</v>
      </c>
      <c r="N22" s="9">
        <f>classify1!B20</f>
        <v>1</v>
      </c>
      <c r="O22" s="9">
        <f>classify2!B20</f>
        <v>1</v>
      </c>
      <c r="P22" s="9">
        <f>classify3!B20</f>
        <v>1</v>
      </c>
      <c r="Q22" s="9">
        <f>classify4!B20</f>
        <v>1</v>
      </c>
      <c r="R22" s="9">
        <f>classify5!B20</f>
        <v>1</v>
      </c>
      <c r="S22" s="10">
        <f t="shared" si="2"/>
        <v>1</v>
      </c>
      <c r="T22" s="11">
        <f t="shared" si="3"/>
        <v>1</v>
      </c>
    </row>
    <row r="23" spans="1:20" ht="14.25" customHeight="1">
      <c r="A23" s="5">
        <f t="shared" si="4"/>
        <v>20</v>
      </c>
      <c r="B23" s="6">
        <f>Actual!$B21</f>
        <v>1</v>
      </c>
      <c r="C23" s="9">
        <f>prompt1!B21</f>
        <v>1</v>
      </c>
      <c r="D23" s="9">
        <f>prompt2!B21</f>
        <v>1</v>
      </c>
      <c r="E23" s="9">
        <f>prompt3!B21</f>
        <v>1</v>
      </c>
      <c r="F23" s="9">
        <f>prompt4!B21</f>
        <v>1</v>
      </c>
      <c r="G23" s="9">
        <f>prompt5!B21</f>
        <v>1</v>
      </c>
      <c r="H23" s="10">
        <f t="shared" si="0"/>
        <v>1</v>
      </c>
      <c r="I23" s="11">
        <f t="shared" si="1"/>
        <v>1</v>
      </c>
      <c r="L23" s="5">
        <f t="shared" si="5"/>
        <v>20</v>
      </c>
      <c r="M23" s="6">
        <f>Actual!$B21</f>
        <v>1</v>
      </c>
      <c r="N23" s="9">
        <f>classify1!B21</f>
        <v>1</v>
      </c>
      <c r="O23" s="9">
        <f>classify2!B21</f>
        <v>1</v>
      </c>
      <c r="P23" s="9">
        <f>classify3!B21</f>
        <v>1</v>
      </c>
      <c r="Q23" s="9">
        <f>classify4!B21</f>
        <v>1</v>
      </c>
      <c r="R23" s="9">
        <f>classify5!B21</f>
        <v>1</v>
      </c>
      <c r="S23" s="10">
        <f t="shared" si="2"/>
        <v>1</v>
      </c>
      <c r="T23" s="11">
        <f t="shared" si="3"/>
        <v>1</v>
      </c>
    </row>
    <row r="24" spans="1:20" ht="14.25" customHeight="1">
      <c r="A24" s="5">
        <f t="shared" si="4"/>
        <v>21</v>
      </c>
      <c r="B24" s="6">
        <f>Actual!$B22</f>
        <v>0</v>
      </c>
      <c r="C24" s="9">
        <f>prompt1!B22</f>
        <v>1</v>
      </c>
      <c r="D24" s="9">
        <f>prompt2!B22</f>
        <v>1</v>
      </c>
      <c r="E24" s="9">
        <f>prompt3!B22</f>
        <v>1</v>
      </c>
      <c r="F24" s="9">
        <f>prompt4!B22</f>
        <v>1</v>
      </c>
      <c r="G24" s="9">
        <f>prompt5!B22</f>
        <v>1</v>
      </c>
      <c r="H24" s="10">
        <f t="shared" si="0"/>
        <v>0</v>
      </c>
      <c r="I24" s="11">
        <f t="shared" si="1"/>
        <v>1</v>
      </c>
      <c r="L24" s="5">
        <f t="shared" si="5"/>
        <v>21</v>
      </c>
      <c r="M24" s="6">
        <f>Actual!$B22</f>
        <v>0</v>
      </c>
      <c r="N24" s="9">
        <f>classify1!B22</f>
        <v>1</v>
      </c>
      <c r="O24" s="9">
        <f>classify2!B22</f>
        <v>1</v>
      </c>
      <c r="P24" s="9">
        <f>classify3!B22</f>
        <v>1</v>
      </c>
      <c r="Q24" s="9">
        <f>classify4!B22</f>
        <v>1</v>
      </c>
      <c r="R24" s="9">
        <f>classify5!B22</f>
        <v>1</v>
      </c>
      <c r="S24" s="10">
        <f t="shared" si="2"/>
        <v>0</v>
      </c>
      <c r="T24" s="11">
        <f t="shared" si="3"/>
        <v>1</v>
      </c>
    </row>
    <row r="25" spans="1:20" ht="14.25" customHeight="1">
      <c r="A25" s="5">
        <f t="shared" si="4"/>
        <v>22</v>
      </c>
      <c r="B25" s="6">
        <f>Actual!$B23</f>
        <v>1</v>
      </c>
      <c r="C25" s="9">
        <f>prompt1!B23</f>
        <v>1</v>
      </c>
      <c r="D25" s="9">
        <f>prompt2!B23</f>
        <v>1</v>
      </c>
      <c r="E25" s="9">
        <f>prompt3!B23</f>
        <v>1</v>
      </c>
      <c r="F25" s="9">
        <f>prompt4!B23</f>
        <v>1</v>
      </c>
      <c r="G25" s="9">
        <f>prompt5!B23</f>
        <v>1</v>
      </c>
      <c r="H25" s="10">
        <f t="shared" si="0"/>
        <v>1</v>
      </c>
      <c r="I25" s="11">
        <f t="shared" si="1"/>
        <v>1</v>
      </c>
      <c r="L25" s="5">
        <f t="shared" si="5"/>
        <v>22</v>
      </c>
      <c r="M25" s="6">
        <f>Actual!$B23</f>
        <v>1</v>
      </c>
      <c r="N25" s="9">
        <f>classify1!B23</f>
        <v>1</v>
      </c>
      <c r="O25" s="9">
        <f>classify2!B23</f>
        <v>1</v>
      </c>
      <c r="P25" s="9">
        <f>classify3!B23</f>
        <v>1</v>
      </c>
      <c r="Q25" s="9">
        <f>classify4!B23</f>
        <v>1</v>
      </c>
      <c r="R25" s="9">
        <f>classify5!B23</f>
        <v>1</v>
      </c>
      <c r="S25" s="10">
        <f t="shared" si="2"/>
        <v>1</v>
      </c>
      <c r="T25" s="11">
        <f t="shared" si="3"/>
        <v>1</v>
      </c>
    </row>
    <row r="26" spans="1:20" ht="14.25" customHeight="1">
      <c r="A26" s="5">
        <f t="shared" si="4"/>
        <v>23</v>
      </c>
      <c r="B26" s="6">
        <f>Actual!$B24</f>
        <v>1</v>
      </c>
      <c r="C26" s="9">
        <f>prompt1!B24</f>
        <v>1</v>
      </c>
      <c r="D26" s="9">
        <f>prompt2!B24</f>
        <v>1</v>
      </c>
      <c r="E26" s="9">
        <f>prompt3!B24</f>
        <v>1</v>
      </c>
      <c r="F26" s="9">
        <f>prompt4!B24</f>
        <v>1</v>
      </c>
      <c r="G26" s="9">
        <f>prompt5!B24</f>
        <v>1</v>
      </c>
      <c r="H26" s="10">
        <f t="shared" si="0"/>
        <v>1</v>
      </c>
      <c r="I26" s="11">
        <f t="shared" si="1"/>
        <v>1</v>
      </c>
      <c r="L26" s="5">
        <f t="shared" si="5"/>
        <v>23</v>
      </c>
      <c r="M26" s="6">
        <f>Actual!$B24</f>
        <v>1</v>
      </c>
      <c r="N26" s="9">
        <f>classify1!B24</f>
        <v>1</v>
      </c>
      <c r="O26" s="9">
        <f>classify2!B24</f>
        <v>1</v>
      </c>
      <c r="P26" s="9">
        <f>classify3!B24</f>
        <v>1</v>
      </c>
      <c r="Q26" s="9">
        <f>classify4!B24</f>
        <v>1</v>
      </c>
      <c r="R26" s="9">
        <f>classify5!B24</f>
        <v>1</v>
      </c>
      <c r="S26" s="10">
        <f t="shared" si="2"/>
        <v>1</v>
      </c>
      <c r="T26" s="11">
        <f t="shared" si="3"/>
        <v>1</v>
      </c>
    </row>
    <row r="27" spans="1:20" ht="14.25" customHeight="1">
      <c r="A27" s="5">
        <f t="shared" si="4"/>
        <v>24</v>
      </c>
      <c r="B27" s="6">
        <f>Actual!$B25</f>
        <v>1</v>
      </c>
      <c r="C27" s="9">
        <f>prompt1!B25</f>
        <v>1</v>
      </c>
      <c r="D27" s="9">
        <f>prompt2!B25</f>
        <v>1</v>
      </c>
      <c r="E27" s="9">
        <f>prompt3!B25</f>
        <v>1</v>
      </c>
      <c r="F27" s="9">
        <f>prompt4!B25</f>
        <v>1</v>
      </c>
      <c r="G27" s="9">
        <f>prompt5!B25</f>
        <v>1</v>
      </c>
      <c r="H27" s="10">
        <f t="shared" si="0"/>
        <v>1</v>
      </c>
      <c r="I27" s="11">
        <f t="shared" si="1"/>
        <v>1</v>
      </c>
      <c r="L27" s="5">
        <f t="shared" si="5"/>
        <v>24</v>
      </c>
      <c r="M27" s="6">
        <f>Actual!$B25</f>
        <v>1</v>
      </c>
      <c r="N27" s="9">
        <f>classify1!B25</f>
        <v>1</v>
      </c>
      <c r="O27" s="9">
        <f>classify2!B25</f>
        <v>1</v>
      </c>
      <c r="P27" s="9">
        <f>classify3!B25</f>
        <v>1</v>
      </c>
      <c r="Q27" s="9">
        <f>classify4!B25</f>
        <v>1</v>
      </c>
      <c r="R27" s="9">
        <f>classify5!B25</f>
        <v>1</v>
      </c>
      <c r="S27" s="10">
        <f t="shared" si="2"/>
        <v>1</v>
      </c>
      <c r="T27" s="11">
        <f t="shared" si="3"/>
        <v>1</v>
      </c>
    </row>
    <row r="28" spans="1:20" ht="14.25" customHeight="1">
      <c r="A28" s="5">
        <f t="shared" si="4"/>
        <v>25</v>
      </c>
      <c r="B28" s="6">
        <f>Actual!$B26</f>
        <v>1</v>
      </c>
      <c r="C28" s="9">
        <f>prompt1!B26</f>
        <v>1</v>
      </c>
      <c r="D28" s="9">
        <f>prompt2!B26</f>
        <v>1</v>
      </c>
      <c r="E28" s="9">
        <f>prompt3!B26</f>
        <v>1</v>
      </c>
      <c r="F28" s="9">
        <f>prompt4!B26</f>
        <v>1</v>
      </c>
      <c r="G28" s="9">
        <f>prompt5!B26</f>
        <v>1</v>
      </c>
      <c r="H28" s="10">
        <f t="shared" si="0"/>
        <v>1</v>
      </c>
      <c r="I28" s="11">
        <f t="shared" si="1"/>
        <v>1</v>
      </c>
      <c r="L28" s="5">
        <f t="shared" si="5"/>
        <v>25</v>
      </c>
      <c r="M28" s="6">
        <f>Actual!$B26</f>
        <v>1</v>
      </c>
      <c r="N28" s="9">
        <f>classify1!B26</f>
        <v>1</v>
      </c>
      <c r="O28" s="9">
        <f>classify2!B26</f>
        <v>1</v>
      </c>
      <c r="P28" s="9">
        <f>classify3!B26</f>
        <v>1</v>
      </c>
      <c r="Q28" s="9">
        <f>classify4!B26</f>
        <v>1</v>
      </c>
      <c r="R28" s="9">
        <f>classify5!B26</f>
        <v>1</v>
      </c>
      <c r="S28" s="10">
        <f t="shared" si="2"/>
        <v>1</v>
      </c>
      <c r="T28" s="11">
        <f t="shared" si="3"/>
        <v>1</v>
      </c>
    </row>
    <row r="29" spans="1:20" ht="14.25" customHeight="1">
      <c r="A29" s="5">
        <f t="shared" si="4"/>
        <v>26</v>
      </c>
      <c r="B29" s="6">
        <f>Actual!$B27</f>
        <v>1</v>
      </c>
      <c r="C29" s="9">
        <f>prompt1!B27</f>
        <v>1</v>
      </c>
      <c r="D29" s="9">
        <f>prompt2!B27</f>
        <v>1</v>
      </c>
      <c r="E29" s="9">
        <f>prompt3!B27</f>
        <v>1</v>
      </c>
      <c r="F29" s="9">
        <f>prompt4!B27</f>
        <v>1</v>
      </c>
      <c r="G29" s="9">
        <f>prompt5!B27</f>
        <v>1</v>
      </c>
      <c r="H29" s="10">
        <f t="shared" si="0"/>
        <v>1</v>
      </c>
      <c r="I29" s="11">
        <f t="shared" si="1"/>
        <v>1</v>
      </c>
      <c r="L29" s="5">
        <f t="shared" si="5"/>
        <v>26</v>
      </c>
      <c r="M29" s="6">
        <f>Actual!$B27</f>
        <v>1</v>
      </c>
      <c r="N29" s="9">
        <f>classify1!B27</f>
        <v>1</v>
      </c>
      <c r="O29" s="9">
        <f>classify2!B27</f>
        <v>1</v>
      </c>
      <c r="P29" s="9">
        <f>classify3!B27</f>
        <v>1</v>
      </c>
      <c r="Q29" s="9">
        <f>classify4!B27</f>
        <v>1</v>
      </c>
      <c r="R29" s="9">
        <f>classify5!B27</f>
        <v>1</v>
      </c>
      <c r="S29" s="10">
        <f t="shared" si="2"/>
        <v>1</v>
      </c>
      <c r="T29" s="11">
        <f t="shared" si="3"/>
        <v>1</v>
      </c>
    </row>
    <row r="30" spans="1:20" ht="14.25" customHeight="1">
      <c r="A30" s="5">
        <f t="shared" si="4"/>
        <v>27</v>
      </c>
      <c r="B30" s="6">
        <f>Actual!$B28</f>
        <v>1</v>
      </c>
      <c r="C30" s="9">
        <f>prompt1!B28</f>
        <v>1</v>
      </c>
      <c r="D30" s="9">
        <f>prompt2!B28</f>
        <v>1</v>
      </c>
      <c r="E30" s="9">
        <f>prompt3!B28</f>
        <v>1</v>
      </c>
      <c r="F30" s="9">
        <f>prompt4!B28</f>
        <v>1</v>
      </c>
      <c r="G30" s="9">
        <f>prompt5!B28</f>
        <v>1</v>
      </c>
      <c r="H30" s="10">
        <f t="shared" si="0"/>
        <v>1</v>
      </c>
      <c r="I30" s="11">
        <f t="shared" si="1"/>
        <v>1</v>
      </c>
      <c r="L30" s="5">
        <f t="shared" si="5"/>
        <v>27</v>
      </c>
      <c r="M30" s="6">
        <f>Actual!$B28</f>
        <v>1</v>
      </c>
      <c r="N30" s="9">
        <f>classify1!B28</f>
        <v>1</v>
      </c>
      <c r="O30" s="9">
        <f>classify2!B28</f>
        <v>1</v>
      </c>
      <c r="P30" s="9">
        <f>classify3!B28</f>
        <v>1</v>
      </c>
      <c r="Q30" s="9">
        <f>classify4!B28</f>
        <v>1</v>
      </c>
      <c r="R30" s="9">
        <f>classify5!B28</f>
        <v>1</v>
      </c>
      <c r="S30" s="10">
        <f t="shared" si="2"/>
        <v>1</v>
      </c>
      <c r="T30" s="11">
        <f t="shared" si="3"/>
        <v>1</v>
      </c>
    </row>
    <row r="31" spans="1:20" ht="14.25" customHeight="1">
      <c r="A31" s="5">
        <f t="shared" si="4"/>
        <v>28</v>
      </c>
      <c r="B31" s="6">
        <f>Actual!$B29</f>
        <v>0</v>
      </c>
      <c r="C31" s="9">
        <f>prompt1!B29</f>
        <v>1</v>
      </c>
      <c r="D31" s="9">
        <f>prompt2!B29</f>
        <v>1</v>
      </c>
      <c r="E31" s="9">
        <f>prompt3!B29</f>
        <v>1</v>
      </c>
      <c r="F31" s="9">
        <f>prompt4!B29</f>
        <v>1</v>
      </c>
      <c r="G31" s="9">
        <f>prompt5!B29</f>
        <v>1</v>
      </c>
      <c r="H31" s="10">
        <f t="shared" si="0"/>
        <v>0</v>
      </c>
      <c r="I31" s="11">
        <f t="shared" si="1"/>
        <v>1</v>
      </c>
      <c r="L31" s="5">
        <f t="shared" si="5"/>
        <v>28</v>
      </c>
      <c r="M31" s="6">
        <f>Actual!$B29</f>
        <v>0</v>
      </c>
      <c r="N31" s="9">
        <f>classify1!B29</f>
        <v>1</v>
      </c>
      <c r="O31" s="9">
        <f>classify2!B29</f>
        <v>1</v>
      </c>
      <c r="P31" s="9">
        <f>classify3!B29</f>
        <v>1</v>
      </c>
      <c r="Q31" s="9">
        <f>classify4!B29</f>
        <v>1</v>
      </c>
      <c r="R31" s="9">
        <f>classify5!B29</f>
        <v>1</v>
      </c>
      <c r="S31" s="10">
        <f t="shared" si="2"/>
        <v>0</v>
      </c>
      <c r="T31" s="11">
        <f t="shared" si="3"/>
        <v>1</v>
      </c>
    </row>
    <row r="32" spans="1:20" ht="14.25" customHeight="1">
      <c r="A32" s="5">
        <f t="shared" si="4"/>
        <v>29</v>
      </c>
      <c r="B32" s="6">
        <f>Actual!$B30</f>
        <v>1</v>
      </c>
      <c r="C32" s="9">
        <f>prompt1!B30</f>
        <v>1</v>
      </c>
      <c r="D32" s="9">
        <f>prompt2!B30</f>
        <v>1</v>
      </c>
      <c r="E32" s="9">
        <f>prompt3!B30</f>
        <v>1</v>
      </c>
      <c r="F32" s="9">
        <f>prompt4!B30</f>
        <v>1</v>
      </c>
      <c r="G32" s="9">
        <f>prompt5!B30</f>
        <v>1</v>
      </c>
      <c r="H32" s="10">
        <f t="shared" si="0"/>
        <v>1</v>
      </c>
      <c r="I32" s="11">
        <f t="shared" si="1"/>
        <v>1</v>
      </c>
      <c r="L32" s="5">
        <f t="shared" si="5"/>
        <v>29</v>
      </c>
      <c r="M32" s="6">
        <f>Actual!$B30</f>
        <v>1</v>
      </c>
      <c r="N32" s="9">
        <f>classify1!B30</f>
        <v>1</v>
      </c>
      <c r="O32" s="9">
        <f>classify2!B30</f>
        <v>1</v>
      </c>
      <c r="P32" s="9">
        <f>classify3!B30</f>
        <v>1</v>
      </c>
      <c r="Q32" s="9">
        <f>classify4!B30</f>
        <v>1</v>
      </c>
      <c r="R32" s="9">
        <f>classify5!B30</f>
        <v>1</v>
      </c>
      <c r="S32" s="10">
        <f t="shared" si="2"/>
        <v>1</v>
      </c>
      <c r="T32" s="11">
        <f t="shared" si="3"/>
        <v>1</v>
      </c>
    </row>
    <row r="33" spans="1:20" ht="14.25" customHeight="1">
      <c r="A33" s="5">
        <f t="shared" si="4"/>
        <v>30</v>
      </c>
      <c r="B33" s="6">
        <f>Actual!$B31</f>
        <v>0</v>
      </c>
      <c r="C33" s="9">
        <f>prompt1!B31</f>
        <v>0</v>
      </c>
      <c r="D33" s="9">
        <f>prompt2!B31</f>
        <v>0</v>
      </c>
      <c r="E33" s="9">
        <f>prompt3!B31</f>
        <v>0</v>
      </c>
      <c r="F33" s="9">
        <f>prompt4!B31</f>
        <v>0</v>
      </c>
      <c r="G33" s="9">
        <f>prompt5!B31</f>
        <v>0</v>
      </c>
      <c r="H33" s="10">
        <f t="shared" si="0"/>
        <v>1</v>
      </c>
      <c r="I33" s="11">
        <f t="shared" si="1"/>
        <v>1</v>
      </c>
      <c r="L33" s="5">
        <f t="shared" si="5"/>
        <v>30</v>
      </c>
      <c r="M33" s="6">
        <f>Actual!$B31</f>
        <v>0</v>
      </c>
      <c r="N33" s="9">
        <f>classify1!B31</f>
        <v>0</v>
      </c>
      <c r="O33" s="9">
        <f>classify2!B31</f>
        <v>0</v>
      </c>
      <c r="P33" s="9">
        <f>classify3!B31</f>
        <v>0</v>
      </c>
      <c r="Q33" s="9">
        <f>classify4!B31</f>
        <v>0</v>
      </c>
      <c r="R33" s="9">
        <f>classify5!B31</f>
        <v>0</v>
      </c>
      <c r="S33" s="10">
        <f t="shared" si="2"/>
        <v>1</v>
      </c>
      <c r="T33" s="11">
        <f t="shared" si="3"/>
        <v>1</v>
      </c>
    </row>
    <row r="34" spans="1:20" ht="14.25" customHeight="1">
      <c r="A34" s="5">
        <f t="shared" si="4"/>
        <v>31</v>
      </c>
      <c r="B34" s="6">
        <f>Actual!$B32</f>
        <v>1</v>
      </c>
      <c r="C34" s="9">
        <f>prompt1!B32</f>
        <v>1</v>
      </c>
      <c r="D34" s="9">
        <f>prompt2!B32</f>
        <v>1</v>
      </c>
      <c r="E34" s="9">
        <f>prompt3!B32</f>
        <v>1</v>
      </c>
      <c r="F34" s="9">
        <f>prompt4!B32</f>
        <v>1</v>
      </c>
      <c r="G34" s="9">
        <f>prompt5!B32</f>
        <v>1</v>
      </c>
      <c r="H34" s="10">
        <f t="shared" si="0"/>
        <v>1</v>
      </c>
      <c r="I34" s="11">
        <f t="shared" si="1"/>
        <v>1</v>
      </c>
      <c r="L34" s="5">
        <f t="shared" si="5"/>
        <v>31</v>
      </c>
      <c r="M34" s="6">
        <f>Actual!$B32</f>
        <v>1</v>
      </c>
      <c r="N34" s="9">
        <f>classify1!B32</f>
        <v>1</v>
      </c>
      <c r="O34" s="9">
        <f>classify2!B32</f>
        <v>1</v>
      </c>
      <c r="P34" s="9">
        <f>classify3!B32</f>
        <v>1</v>
      </c>
      <c r="Q34" s="9">
        <f>classify4!B32</f>
        <v>1</v>
      </c>
      <c r="R34" s="9">
        <f>classify5!B32</f>
        <v>1</v>
      </c>
      <c r="S34" s="10">
        <f t="shared" si="2"/>
        <v>1</v>
      </c>
      <c r="T34" s="11">
        <f t="shared" si="3"/>
        <v>1</v>
      </c>
    </row>
    <row r="35" spans="1:20" ht="14.25" customHeight="1">
      <c r="A35" s="5">
        <f t="shared" si="4"/>
        <v>32</v>
      </c>
      <c r="B35" s="6">
        <f>Actual!$B33</f>
        <v>0</v>
      </c>
      <c r="C35" s="9">
        <f>prompt1!B33</f>
        <v>0</v>
      </c>
      <c r="D35" s="9">
        <f>prompt2!B33</f>
        <v>0</v>
      </c>
      <c r="E35" s="9">
        <f>prompt3!B33</f>
        <v>0</v>
      </c>
      <c r="F35" s="9">
        <f>prompt4!B33</f>
        <v>0</v>
      </c>
      <c r="G35" s="9">
        <f>prompt5!B33</f>
        <v>0</v>
      </c>
      <c r="H35" s="10">
        <f t="shared" si="0"/>
        <v>1</v>
      </c>
      <c r="I35" s="11">
        <f t="shared" si="1"/>
        <v>1</v>
      </c>
      <c r="L35" s="5">
        <f t="shared" si="5"/>
        <v>32</v>
      </c>
      <c r="M35" s="6">
        <f>Actual!$B33</f>
        <v>0</v>
      </c>
      <c r="N35" s="9">
        <f>classify1!B33</f>
        <v>0</v>
      </c>
      <c r="O35" s="9">
        <f>classify2!B33</f>
        <v>0</v>
      </c>
      <c r="P35" s="9">
        <f>classify3!B33</f>
        <v>0</v>
      </c>
      <c r="Q35" s="9">
        <f>classify4!B33</f>
        <v>0</v>
      </c>
      <c r="R35" s="9">
        <f>classify5!B33</f>
        <v>0</v>
      </c>
      <c r="S35" s="10">
        <f t="shared" si="2"/>
        <v>1</v>
      </c>
      <c r="T35" s="11">
        <f t="shared" si="3"/>
        <v>1</v>
      </c>
    </row>
    <row r="36" spans="1:20" ht="14.25" customHeight="1">
      <c r="A36" s="5">
        <f t="shared" si="4"/>
        <v>33</v>
      </c>
      <c r="B36" s="6">
        <f>Actual!$B34</f>
        <v>0</v>
      </c>
      <c r="C36" s="9">
        <f>prompt1!B34</f>
        <v>0</v>
      </c>
      <c r="D36" s="9">
        <f>prompt2!B34</f>
        <v>0</v>
      </c>
      <c r="E36" s="9">
        <f>prompt3!B34</f>
        <v>0</v>
      </c>
      <c r="F36" s="9">
        <f>prompt4!B34</f>
        <v>0</v>
      </c>
      <c r="G36" s="9">
        <f>prompt5!B34</f>
        <v>0</v>
      </c>
      <c r="H36" s="10">
        <f t="shared" si="0"/>
        <v>1</v>
      </c>
      <c r="I36" s="11">
        <f t="shared" si="1"/>
        <v>1</v>
      </c>
      <c r="L36" s="5">
        <f t="shared" si="5"/>
        <v>33</v>
      </c>
      <c r="M36" s="6">
        <f>Actual!$B34</f>
        <v>0</v>
      </c>
      <c r="N36" s="9">
        <f>classify1!B34</f>
        <v>0</v>
      </c>
      <c r="O36" s="9">
        <f>classify2!B34</f>
        <v>0</v>
      </c>
      <c r="P36" s="9">
        <f>classify3!B34</f>
        <v>0</v>
      </c>
      <c r="Q36" s="9">
        <f>classify4!B34</f>
        <v>0</v>
      </c>
      <c r="R36" s="9">
        <f>classify5!B34</f>
        <v>0</v>
      </c>
      <c r="S36" s="10">
        <f t="shared" si="2"/>
        <v>1</v>
      </c>
      <c r="T36" s="11">
        <f t="shared" si="3"/>
        <v>1</v>
      </c>
    </row>
    <row r="37" spans="1:20" ht="14.25" customHeight="1">
      <c r="A37" s="5">
        <f t="shared" si="4"/>
        <v>34</v>
      </c>
      <c r="B37" s="6">
        <f>Actual!$B35</f>
        <v>0</v>
      </c>
      <c r="C37" s="9">
        <f>prompt1!B35</f>
        <v>0</v>
      </c>
      <c r="D37" s="9">
        <f>prompt2!B35</f>
        <v>0</v>
      </c>
      <c r="E37" s="9">
        <f>prompt3!B35</f>
        <v>0</v>
      </c>
      <c r="F37" s="9">
        <f>prompt4!B35</f>
        <v>0</v>
      </c>
      <c r="G37" s="9">
        <f>prompt5!B35</f>
        <v>0</v>
      </c>
      <c r="H37" s="10">
        <f t="shared" si="0"/>
        <v>1</v>
      </c>
      <c r="I37" s="11">
        <f t="shared" si="1"/>
        <v>1</v>
      </c>
      <c r="L37" s="5">
        <f t="shared" si="5"/>
        <v>34</v>
      </c>
      <c r="M37" s="6">
        <f>Actual!$B35</f>
        <v>0</v>
      </c>
      <c r="N37" s="9">
        <f>classify1!B35</f>
        <v>0</v>
      </c>
      <c r="O37" s="9">
        <f>classify2!B35</f>
        <v>0</v>
      </c>
      <c r="P37" s="9">
        <f>classify3!B35</f>
        <v>0</v>
      </c>
      <c r="Q37" s="9">
        <f>classify4!B35</f>
        <v>0</v>
      </c>
      <c r="R37" s="9">
        <f>classify5!B35</f>
        <v>0</v>
      </c>
      <c r="S37" s="10">
        <f t="shared" si="2"/>
        <v>1</v>
      </c>
      <c r="T37" s="11">
        <f t="shared" si="3"/>
        <v>1</v>
      </c>
    </row>
    <row r="38" spans="1:20" ht="14.25" customHeight="1">
      <c r="A38" s="5">
        <f t="shared" si="4"/>
        <v>35</v>
      </c>
      <c r="B38" s="6">
        <f>Actual!$B36</f>
        <v>1</v>
      </c>
      <c r="C38" s="9">
        <f>prompt1!B36</f>
        <v>0</v>
      </c>
      <c r="D38" s="9">
        <f>prompt2!B36</f>
        <v>0</v>
      </c>
      <c r="E38" s="9">
        <f>prompt3!B36</f>
        <v>0</v>
      </c>
      <c r="F38" s="9">
        <f>prompt4!B36</f>
        <v>0</v>
      </c>
      <c r="G38" s="9">
        <f>prompt5!B36</f>
        <v>0</v>
      </c>
      <c r="H38" s="10">
        <f t="shared" si="0"/>
        <v>0</v>
      </c>
      <c r="I38" s="11">
        <f t="shared" si="1"/>
        <v>1</v>
      </c>
      <c r="L38" s="5">
        <f t="shared" si="5"/>
        <v>35</v>
      </c>
      <c r="M38" s="6">
        <f>Actual!$B36</f>
        <v>1</v>
      </c>
      <c r="N38" s="9">
        <f>classify1!B36</f>
        <v>0</v>
      </c>
      <c r="O38" s="9">
        <f>classify2!B36</f>
        <v>0</v>
      </c>
      <c r="P38" s="9">
        <f>classify3!B36</f>
        <v>0</v>
      </c>
      <c r="Q38" s="9">
        <f>classify4!B36</f>
        <v>0</v>
      </c>
      <c r="R38" s="9">
        <f>classify5!B36</f>
        <v>0</v>
      </c>
      <c r="S38" s="10">
        <f t="shared" si="2"/>
        <v>0</v>
      </c>
      <c r="T38" s="11">
        <f t="shared" si="3"/>
        <v>1</v>
      </c>
    </row>
    <row r="39" spans="1:20" ht="14.25" customHeight="1">
      <c r="A39" s="5">
        <f t="shared" si="4"/>
        <v>36</v>
      </c>
      <c r="B39" s="6">
        <f>Actual!$B37</f>
        <v>0</v>
      </c>
      <c r="C39" s="9">
        <f>prompt1!B37</f>
        <v>0</v>
      </c>
      <c r="D39" s="9">
        <f>prompt2!B37</f>
        <v>0</v>
      </c>
      <c r="E39" s="9">
        <f>prompt3!B37</f>
        <v>0</v>
      </c>
      <c r="F39" s="9">
        <f>prompt4!B37</f>
        <v>0</v>
      </c>
      <c r="G39" s="9">
        <f>prompt5!B37</f>
        <v>0</v>
      </c>
      <c r="H39" s="10">
        <f t="shared" si="0"/>
        <v>1</v>
      </c>
      <c r="I39" s="11">
        <f t="shared" si="1"/>
        <v>1</v>
      </c>
      <c r="L39" s="5">
        <f t="shared" si="5"/>
        <v>36</v>
      </c>
      <c r="M39" s="6">
        <f>Actual!$B37</f>
        <v>0</v>
      </c>
      <c r="N39" s="9">
        <f>classify1!B37</f>
        <v>0</v>
      </c>
      <c r="O39" s="9">
        <f>classify2!B37</f>
        <v>0</v>
      </c>
      <c r="P39" s="9">
        <f>classify3!B37</f>
        <v>0</v>
      </c>
      <c r="Q39" s="9">
        <f>classify4!B37</f>
        <v>0</v>
      </c>
      <c r="R39" s="9">
        <f>classify5!B37</f>
        <v>0</v>
      </c>
      <c r="S39" s="10">
        <f t="shared" si="2"/>
        <v>1</v>
      </c>
      <c r="T39" s="11">
        <f t="shared" si="3"/>
        <v>1</v>
      </c>
    </row>
    <row r="40" spans="1:20" ht="14.25" customHeight="1">
      <c r="A40" s="5">
        <f t="shared" si="4"/>
        <v>37</v>
      </c>
      <c r="B40" s="6">
        <f>Actual!$B38</f>
        <v>1</v>
      </c>
      <c r="C40" s="9">
        <f>prompt1!B38</f>
        <v>1</v>
      </c>
      <c r="D40" s="9">
        <f>prompt2!B38</f>
        <v>1</v>
      </c>
      <c r="E40" s="9">
        <f>prompt3!B38</f>
        <v>1</v>
      </c>
      <c r="F40" s="9">
        <f>prompt4!B38</f>
        <v>1</v>
      </c>
      <c r="G40" s="9">
        <f>prompt5!B38</f>
        <v>1</v>
      </c>
      <c r="H40" s="10">
        <f t="shared" si="0"/>
        <v>1</v>
      </c>
      <c r="I40" s="11">
        <f t="shared" si="1"/>
        <v>1</v>
      </c>
      <c r="L40" s="5">
        <f t="shared" si="5"/>
        <v>37</v>
      </c>
      <c r="M40" s="6">
        <f>Actual!$B38</f>
        <v>1</v>
      </c>
      <c r="N40" s="9">
        <f>classify1!B38</f>
        <v>1</v>
      </c>
      <c r="O40" s="9">
        <f>classify2!B38</f>
        <v>1</v>
      </c>
      <c r="P40" s="9">
        <f>classify3!B38</f>
        <v>1</v>
      </c>
      <c r="Q40" s="9">
        <f>classify4!B38</f>
        <v>1</v>
      </c>
      <c r="R40" s="9">
        <f>classify5!B38</f>
        <v>1</v>
      </c>
      <c r="S40" s="10">
        <f t="shared" si="2"/>
        <v>1</v>
      </c>
      <c r="T40" s="11">
        <f t="shared" si="3"/>
        <v>1</v>
      </c>
    </row>
    <row r="41" spans="1:20" ht="14.25" customHeight="1">
      <c r="A41" s="5">
        <f t="shared" si="4"/>
        <v>38</v>
      </c>
      <c r="B41" s="6">
        <f>Actual!$B39</f>
        <v>0</v>
      </c>
      <c r="C41" s="9">
        <f>prompt1!B39</f>
        <v>0</v>
      </c>
      <c r="D41" s="9">
        <f>prompt2!B39</f>
        <v>0</v>
      </c>
      <c r="E41" s="9">
        <f>prompt3!B39</f>
        <v>0</v>
      </c>
      <c r="F41" s="9">
        <f>prompt4!B39</f>
        <v>0</v>
      </c>
      <c r="G41" s="9">
        <f>prompt5!B39</f>
        <v>0</v>
      </c>
      <c r="H41" s="10">
        <f t="shared" si="0"/>
        <v>1</v>
      </c>
      <c r="I41" s="11">
        <f t="shared" si="1"/>
        <v>1</v>
      </c>
      <c r="L41" s="5">
        <f t="shared" si="5"/>
        <v>38</v>
      </c>
      <c r="M41" s="6">
        <f>Actual!$B39</f>
        <v>0</v>
      </c>
      <c r="N41" s="9">
        <f>classify1!B39</f>
        <v>0</v>
      </c>
      <c r="O41" s="9">
        <f>classify2!B39</f>
        <v>0</v>
      </c>
      <c r="P41" s="9">
        <f>classify3!B39</f>
        <v>0</v>
      </c>
      <c r="Q41" s="9">
        <f>classify4!B39</f>
        <v>0</v>
      </c>
      <c r="R41" s="9">
        <f>classify5!B39</f>
        <v>0</v>
      </c>
      <c r="S41" s="10">
        <f t="shared" si="2"/>
        <v>1</v>
      </c>
      <c r="T41" s="11">
        <f t="shared" si="3"/>
        <v>1</v>
      </c>
    </row>
    <row r="42" spans="1:20" ht="14.25" customHeight="1">
      <c r="A42" s="5">
        <f t="shared" si="4"/>
        <v>39</v>
      </c>
      <c r="B42" s="6">
        <f>Actual!$B40</f>
        <v>1</v>
      </c>
      <c r="C42" s="9">
        <f>prompt1!B40</f>
        <v>1</v>
      </c>
      <c r="D42" s="9">
        <f>prompt2!B40</f>
        <v>1</v>
      </c>
      <c r="E42" s="9">
        <f>prompt3!B40</f>
        <v>1</v>
      </c>
      <c r="F42" s="9">
        <f>prompt4!B40</f>
        <v>1</v>
      </c>
      <c r="G42" s="9">
        <f>prompt5!B40</f>
        <v>1</v>
      </c>
      <c r="H42" s="10">
        <f t="shared" si="0"/>
        <v>1</v>
      </c>
      <c r="I42" s="11">
        <f t="shared" si="1"/>
        <v>1</v>
      </c>
      <c r="L42" s="5">
        <f t="shared" si="5"/>
        <v>39</v>
      </c>
      <c r="M42" s="6">
        <f>Actual!$B40</f>
        <v>1</v>
      </c>
      <c r="N42" s="9">
        <f>classify1!B40</f>
        <v>1</v>
      </c>
      <c r="O42" s="9">
        <f>classify2!B40</f>
        <v>1</v>
      </c>
      <c r="P42" s="9">
        <f>classify3!B40</f>
        <v>1</v>
      </c>
      <c r="Q42" s="9">
        <f>classify4!B40</f>
        <v>1</v>
      </c>
      <c r="R42" s="9">
        <f>classify5!B40</f>
        <v>1</v>
      </c>
      <c r="S42" s="10">
        <f t="shared" si="2"/>
        <v>1</v>
      </c>
      <c r="T42" s="11">
        <f t="shared" si="3"/>
        <v>1</v>
      </c>
    </row>
    <row r="43" spans="1:20" ht="14.25" customHeight="1">
      <c r="A43" s="5">
        <f t="shared" si="4"/>
        <v>40</v>
      </c>
      <c r="B43" s="6">
        <f>Actual!$B41</f>
        <v>1</v>
      </c>
      <c r="C43" s="9">
        <f>prompt1!B41</f>
        <v>1</v>
      </c>
      <c r="D43" s="9">
        <f>prompt2!B41</f>
        <v>1</v>
      </c>
      <c r="E43" s="9">
        <f>prompt3!B41</f>
        <v>1</v>
      </c>
      <c r="F43" s="9">
        <f>prompt4!B41</f>
        <v>1</v>
      </c>
      <c r="G43" s="9">
        <f>prompt5!B41</f>
        <v>1</v>
      </c>
      <c r="H43" s="10">
        <f t="shared" si="0"/>
        <v>1</v>
      </c>
      <c r="I43" s="11">
        <f t="shared" si="1"/>
        <v>1</v>
      </c>
      <c r="L43" s="5">
        <f t="shared" si="5"/>
        <v>40</v>
      </c>
      <c r="M43" s="6">
        <f>Actual!$B41</f>
        <v>1</v>
      </c>
      <c r="N43" s="9">
        <f>classify1!B41</f>
        <v>1</v>
      </c>
      <c r="O43" s="9">
        <f>classify2!B41</f>
        <v>1</v>
      </c>
      <c r="P43" s="9">
        <f>classify3!B41</f>
        <v>1</v>
      </c>
      <c r="Q43" s="9">
        <f>classify4!B41</f>
        <v>1</v>
      </c>
      <c r="R43" s="9">
        <f>classify5!B41</f>
        <v>1</v>
      </c>
      <c r="S43" s="10">
        <f t="shared" si="2"/>
        <v>1</v>
      </c>
      <c r="T43" s="11">
        <f t="shared" si="3"/>
        <v>1</v>
      </c>
    </row>
    <row r="44" spans="1:20" ht="14.25" customHeight="1">
      <c r="A44" s="5">
        <f t="shared" si="4"/>
        <v>41</v>
      </c>
      <c r="B44" s="6">
        <f>Actual!$B42</f>
        <v>1</v>
      </c>
      <c r="C44" s="9">
        <f>prompt1!B42</f>
        <v>1</v>
      </c>
      <c r="D44" s="9">
        <f>prompt2!B42</f>
        <v>1</v>
      </c>
      <c r="E44" s="9">
        <f>prompt3!B42</f>
        <v>1</v>
      </c>
      <c r="F44" s="9">
        <f>prompt4!B42</f>
        <v>1</v>
      </c>
      <c r="G44" s="9">
        <f>prompt5!B42</f>
        <v>1</v>
      </c>
      <c r="H44" s="10">
        <f t="shared" si="0"/>
        <v>1</v>
      </c>
      <c r="I44" s="11">
        <f t="shared" si="1"/>
        <v>1</v>
      </c>
      <c r="L44" s="5">
        <f t="shared" si="5"/>
        <v>41</v>
      </c>
      <c r="M44" s="6">
        <f>Actual!$B42</f>
        <v>1</v>
      </c>
      <c r="N44" s="9">
        <f>classify1!B42</f>
        <v>1</v>
      </c>
      <c r="O44" s="9">
        <f>classify2!B42</f>
        <v>1</v>
      </c>
      <c r="P44" s="9">
        <f>classify3!B42</f>
        <v>1</v>
      </c>
      <c r="Q44" s="9">
        <f>classify4!B42</f>
        <v>1</v>
      </c>
      <c r="R44" s="9">
        <f>classify5!B42</f>
        <v>1</v>
      </c>
      <c r="S44" s="10">
        <f t="shared" si="2"/>
        <v>1</v>
      </c>
      <c r="T44" s="11">
        <f t="shared" si="3"/>
        <v>1</v>
      </c>
    </row>
    <row r="45" spans="1:20" ht="14.25" customHeight="1">
      <c r="A45" s="5">
        <f t="shared" si="4"/>
        <v>42</v>
      </c>
      <c r="B45" s="6">
        <f>Actual!$B43</f>
        <v>0</v>
      </c>
      <c r="C45" s="9">
        <f>prompt1!B43</f>
        <v>0</v>
      </c>
      <c r="D45" s="9">
        <f>prompt2!B43</f>
        <v>0</v>
      </c>
      <c r="E45" s="9">
        <f>prompt3!B43</f>
        <v>0</v>
      </c>
      <c r="F45" s="9">
        <f>prompt4!B43</f>
        <v>0</v>
      </c>
      <c r="G45" s="9">
        <f>prompt5!B43</f>
        <v>0</v>
      </c>
      <c r="H45" s="10">
        <f t="shared" si="0"/>
        <v>1</v>
      </c>
      <c r="I45" s="11">
        <f t="shared" si="1"/>
        <v>1</v>
      </c>
      <c r="L45" s="5">
        <f t="shared" si="5"/>
        <v>42</v>
      </c>
      <c r="M45" s="6">
        <f>Actual!$B43</f>
        <v>0</v>
      </c>
      <c r="N45" s="9">
        <f>classify1!B43</f>
        <v>0</v>
      </c>
      <c r="O45" s="9">
        <f>classify2!B43</f>
        <v>0</v>
      </c>
      <c r="P45" s="9">
        <f>classify3!B43</f>
        <v>0</v>
      </c>
      <c r="Q45" s="9">
        <f>classify4!B43</f>
        <v>0</v>
      </c>
      <c r="R45" s="9">
        <f>classify5!B43</f>
        <v>0</v>
      </c>
      <c r="S45" s="10">
        <f t="shared" si="2"/>
        <v>1</v>
      </c>
      <c r="T45" s="11">
        <f t="shared" si="3"/>
        <v>1</v>
      </c>
    </row>
    <row r="46" spans="1:20" ht="14.25" customHeight="1">
      <c r="A46" s="5">
        <f t="shared" si="4"/>
        <v>43</v>
      </c>
      <c r="B46" s="6">
        <f>Actual!$B44</f>
        <v>0</v>
      </c>
      <c r="C46" s="9">
        <f>prompt1!B44</f>
        <v>0</v>
      </c>
      <c r="D46" s="9">
        <f>prompt2!B44</f>
        <v>0</v>
      </c>
      <c r="E46" s="9">
        <f>prompt3!B44</f>
        <v>0</v>
      </c>
      <c r="F46" s="9">
        <f>prompt4!B44</f>
        <v>0</v>
      </c>
      <c r="G46" s="9">
        <f>prompt5!B44</f>
        <v>0</v>
      </c>
      <c r="H46" s="10">
        <f t="shared" si="0"/>
        <v>1</v>
      </c>
      <c r="I46" s="11">
        <f t="shared" si="1"/>
        <v>1</v>
      </c>
      <c r="L46" s="5">
        <f t="shared" si="5"/>
        <v>43</v>
      </c>
      <c r="M46" s="6">
        <f>Actual!$B44</f>
        <v>0</v>
      </c>
      <c r="N46" s="9">
        <f>classify1!B44</f>
        <v>0</v>
      </c>
      <c r="O46" s="9">
        <f>classify2!B44</f>
        <v>0</v>
      </c>
      <c r="P46" s="9">
        <f>classify3!B44</f>
        <v>0</v>
      </c>
      <c r="Q46" s="9">
        <f>classify4!B44</f>
        <v>0</v>
      </c>
      <c r="R46" s="9">
        <f>classify5!B44</f>
        <v>0</v>
      </c>
      <c r="S46" s="10">
        <f t="shared" si="2"/>
        <v>1</v>
      </c>
      <c r="T46" s="11">
        <f t="shared" si="3"/>
        <v>1</v>
      </c>
    </row>
    <row r="47" spans="1:20" ht="14.25" customHeight="1">
      <c r="A47" s="5">
        <f t="shared" si="4"/>
        <v>44</v>
      </c>
      <c r="B47" s="6">
        <f>Actual!$B45</f>
        <v>1</v>
      </c>
      <c r="C47" s="9">
        <f>prompt1!B45</f>
        <v>0</v>
      </c>
      <c r="D47" s="9">
        <f>prompt2!B45</f>
        <v>0</v>
      </c>
      <c r="E47" s="9">
        <f>prompt3!B45</f>
        <v>0</v>
      </c>
      <c r="F47" s="9">
        <f>prompt4!B45</f>
        <v>0</v>
      </c>
      <c r="G47" s="9">
        <f>prompt5!B45</f>
        <v>0</v>
      </c>
      <c r="H47" s="10">
        <f t="shared" si="0"/>
        <v>0</v>
      </c>
      <c r="I47" s="11">
        <f t="shared" si="1"/>
        <v>1</v>
      </c>
      <c r="L47" s="5">
        <f t="shared" si="5"/>
        <v>44</v>
      </c>
      <c r="M47" s="6">
        <f>Actual!$B45</f>
        <v>1</v>
      </c>
      <c r="N47" s="9">
        <f>classify1!B45</f>
        <v>0</v>
      </c>
      <c r="O47" s="9">
        <f>classify2!B45</f>
        <v>0</v>
      </c>
      <c r="P47" s="9">
        <f>classify3!B45</f>
        <v>0</v>
      </c>
      <c r="Q47" s="9">
        <f>classify4!B45</f>
        <v>0</v>
      </c>
      <c r="R47" s="9">
        <f>classify5!B45</f>
        <v>0</v>
      </c>
      <c r="S47" s="10">
        <f t="shared" si="2"/>
        <v>0</v>
      </c>
      <c r="T47" s="11">
        <f t="shared" si="3"/>
        <v>1</v>
      </c>
    </row>
    <row r="48" spans="1:20" ht="14.25" customHeight="1">
      <c r="A48" s="5">
        <f t="shared" si="4"/>
        <v>45</v>
      </c>
      <c r="B48" s="6">
        <f>Actual!$B46</f>
        <v>1</v>
      </c>
      <c r="C48" s="9">
        <f>prompt1!B46</f>
        <v>0</v>
      </c>
      <c r="D48" s="9">
        <f>prompt2!B46</f>
        <v>1</v>
      </c>
      <c r="E48" s="9">
        <f>prompt3!B46</f>
        <v>1</v>
      </c>
      <c r="F48" s="9">
        <f>prompt4!B46</f>
        <v>1</v>
      </c>
      <c r="G48" s="9">
        <f>prompt5!B46</f>
        <v>1</v>
      </c>
      <c r="H48" s="10">
        <f t="shared" si="0"/>
        <v>0.8</v>
      </c>
      <c r="I48" s="11">
        <f t="shared" si="1"/>
        <v>0.8</v>
      </c>
      <c r="L48" s="5">
        <f t="shared" si="5"/>
        <v>45</v>
      </c>
      <c r="M48" s="6">
        <f>Actual!$B46</f>
        <v>1</v>
      </c>
      <c r="N48" s="9">
        <f>classify1!B46</f>
        <v>0</v>
      </c>
      <c r="O48" s="9">
        <f>classify2!B46</f>
        <v>1</v>
      </c>
      <c r="P48" s="9">
        <f>classify3!B46</f>
        <v>0</v>
      </c>
      <c r="Q48" s="9">
        <f>classify4!B46</f>
        <v>1</v>
      </c>
      <c r="R48" s="9">
        <f>classify5!B46</f>
        <v>1</v>
      </c>
      <c r="S48" s="10">
        <f t="shared" si="2"/>
        <v>0.6</v>
      </c>
      <c r="T48" s="11">
        <f t="shared" si="3"/>
        <v>0.6</v>
      </c>
    </row>
    <row r="49" spans="1:20" ht="14.25" customHeight="1">
      <c r="A49" s="5">
        <f t="shared" si="4"/>
        <v>46</v>
      </c>
      <c r="B49" s="6">
        <f>Actual!$B47</f>
        <v>0</v>
      </c>
      <c r="C49" s="9">
        <f>prompt1!B47</f>
        <v>0</v>
      </c>
      <c r="D49" s="9">
        <f>prompt2!B47</f>
        <v>0</v>
      </c>
      <c r="E49" s="9">
        <f>prompt3!B47</f>
        <v>0</v>
      </c>
      <c r="F49" s="9">
        <f>prompt4!B47</f>
        <v>0</v>
      </c>
      <c r="G49" s="9">
        <f>prompt5!B47</f>
        <v>0</v>
      </c>
      <c r="H49" s="10">
        <f t="shared" si="0"/>
        <v>1</v>
      </c>
      <c r="I49" s="11">
        <f t="shared" si="1"/>
        <v>1</v>
      </c>
      <c r="L49" s="5">
        <f t="shared" si="5"/>
        <v>46</v>
      </c>
      <c r="M49" s="6">
        <f>Actual!$B47</f>
        <v>0</v>
      </c>
      <c r="N49" s="9">
        <f>classify1!B47</f>
        <v>0</v>
      </c>
      <c r="O49" s="9">
        <f>classify2!B47</f>
        <v>0</v>
      </c>
      <c r="P49" s="9">
        <f>classify3!B47</f>
        <v>0</v>
      </c>
      <c r="Q49" s="9">
        <f>classify4!B47</f>
        <v>0</v>
      </c>
      <c r="R49" s="9">
        <f>classify5!B47</f>
        <v>0</v>
      </c>
      <c r="S49" s="10">
        <f t="shared" si="2"/>
        <v>1</v>
      </c>
      <c r="T49" s="11">
        <f t="shared" si="3"/>
        <v>1</v>
      </c>
    </row>
    <row r="50" spans="1:20" ht="14.25" customHeight="1">
      <c r="A50" s="5">
        <f t="shared" si="4"/>
        <v>47</v>
      </c>
      <c r="B50" s="6">
        <f>Actual!$B48</f>
        <v>1</v>
      </c>
      <c r="C50" s="9">
        <f>prompt1!B48</f>
        <v>1</v>
      </c>
      <c r="D50" s="9">
        <f>prompt2!B48</f>
        <v>1</v>
      </c>
      <c r="E50" s="9">
        <f>prompt3!B48</f>
        <v>1</v>
      </c>
      <c r="F50" s="9">
        <f>prompt4!B48</f>
        <v>1</v>
      </c>
      <c r="G50" s="9">
        <f>prompt5!B48</f>
        <v>1</v>
      </c>
      <c r="H50" s="10">
        <f t="shared" si="0"/>
        <v>1</v>
      </c>
      <c r="I50" s="11">
        <f t="shared" si="1"/>
        <v>1</v>
      </c>
      <c r="L50" s="5">
        <f t="shared" si="5"/>
        <v>47</v>
      </c>
      <c r="M50" s="6">
        <f>Actual!$B48</f>
        <v>1</v>
      </c>
      <c r="N50" s="9">
        <f>classify1!B48</f>
        <v>1</v>
      </c>
      <c r="O50" s="9">
        <f>classify2!B48</f>
        <v>1</v>
      </c>
      <c r="P50" s="9">
        <f>classify3!B48</f>
        <v>1</v>
      </c>
      <c r="Q50" s="9">
        <f>classify4!B48</f>
        <v>1</v>
      </c>
      <c r="R50" s="9">
        <f>classify5!B48</f>
        <v>1</v>
      </c>
      <c r="S50" s="10">
        <f t="shared" si="2"/>
        <v>1</v>
      </c>
      <c r="T50" s="11">
        <f t="shared" si="3"/>
        <v>1</v>
      </c>
    </row>
    <row r="51" spans="1:20" ht="14.25" customHeight="1">
      <c r="A51" s="5">
        <f t="shared" si="4"/>
        <v>48</v>
      </c>
      <c r="B51" s="6">
        <f>Actual!$B49</f>
        <v>1</v>
      </c>
      <c r="C51" s="9">
        <f>prompt1!B49</f>
        <v>0</v>
      </c>
      <c r="D51" s="9">
        <f>prompt2!B49</f>
        <v>0</v>
      </c>
      <c r="E51" s="9">
        <f>prompt3!B49</f>
        <v>0</v>
      </c>
      <c r="F51" s="9">
        <f>prompt4!B49</f>
        <v>0</v>
      </c>
      <c r="G51" s="9">
        <f>prompt5!B49</f>
        <v>0</v>
      </c>
      <c r="H51" s="10">
        <f t="shared" si="0"/>
        <v>0</v>
      </c>
      <c r="I51" s="11">
        <f t="shared" si="1"/>
        <v>1</v>
      </c>
      <c r="L51" s="5">
        <f t="shared" si="5"/>
        <v>48</v>
      </c>
      <c r="M51" s="6">
        <f>Actual!$B49</f>
        <v>1</v>
      </c>
      <c r="N51" s="9">
        <f>classify1!B49</f>
        <v>0</v>
      </c>
      <c r="O51" s="9">
        <f>classify2!B49</f>
        <v>0</v>
      </c>
      <c r="P51" s="9">
        <f>classify3!B49</f>
        <v>0</v>
      </c>
      <c r="Q51" s="9">
        <f>classify4!B49</f>
        <v>0</v>
      </c>
      <c r="R51" s="9">
        <f>classify5!B49</f>
        <v>0</v>
      </c>
      <c r="S51" s="10">
        <f t="shared" si="2"/>
        <v>0</v>
      </c>
      <c r="T51" s="11">
        <f t="shared" si="3"/>
        <v>1</v>
      </c>
    </row>
    <row r="52" spans="1:20" ht="14.25" customHeight="1">
      <c r="A52" s="5">
        <f t="shared" si="4"/>
        <v>49</v>
      </c>
      <c r="B52" s="6">
        <f>Actual!$B50</f>
        <v>1</v>
      </c>
      <c r="C52" s="9">
        <f>prompt1!B50</f>
        <v>1</v>
      </c>
      <c r="D52" s="9">
        <f>prompt2!B50</f>
        <v>1</v>
      </c>
      <c r="E52" s="9">
        <f>prompt3!B50</f>
        <v>1</v>
      </c>
      <c r="F52" s="9">
        <f>prompt4!B50</f>
        <v>1</v>
      </c>
      <c r="G52" s="9">
        <f>prompt5!B50</f>
        <v>1</v>
      </c>
      <c r="H52" s="10">
        <f t="shared" si="0"/>
        <v>1</v>
      </c>
      <c r="I52" s="11">
        <f t="shared" si="1"/>
        <v>1</v>
      </c>
      <c r="L52" s="5">
        <f t="shared" si="5"/>
        <v>49</v>
      </c>
      <c r="M52" s="6">
        <f>Actual!$B50</f>
        <v>1</v>
      </c>
      <c r="N52" s="9">
        <f>classify1!B50</f>
        <v>1</v>
      </c>
      <c r="O52" s="9">
        <f>classify2!B50</f>
        <v>1</v>
      </c>
      <c r="P52" s="9">
        <f>classify3!B50</f>
        <v>1</v>
      </c>
      <c r="Q52" s="9">
        <f>classify4!B50</f>
        <v>1</v>
      </c>
      <c r="R52" s="9">
        <f>classify5!B50</f>
        <v>1</v>
      </c>
      <c r="S52" s="10">
        <f t="shared" si="2"/>
        <v>1</v>
      </c>
      <c r="T52" s="11">
        <f t="shared" si="3"/>
        <v>1</v>
      </c>
    </row>
    <row r="53" spans="1:20" ht="14.25" customHeight="1">
      <c r="A53" s="5">
        <f t="shared" si="4"/>
        <v>50</v>
      </c>
      <c r="B53" s="6">
        <f>Actual!$B51</f>
        <v>1</v>
      </c>
      <c r="C53" s="9">
        <f>prompt1!B51</f>
        <v>1</v>
      </c>
      <c r="D53" s="9">
        <f>prompt2!B51</f>
        <v>1</v>
      </c>
      <c r="E53" s="9">
        <f>prompt3!B51</f>
        <v>1</v>
      </c>
      <c r="F53" s="9">
        <f>prompt4!B51</f>
        <v>1</v>
      </c>
      <c r="G53" s="9">
        <f>prompt5!B51</f>
        <v>1</v>
      </c>
      <c r="H53" s="10">
        <f t="shared" si="0"/>
        <v>1</v>
      </c>
      <c r="I53" s="11">
        <f t="shared" si="1"/>
        <v>1</v>
      </c>
      <c r="L53" s="5">
        <f t="shared" si="5"/>
        <v>50</v>
      </c>
      <c r="M53" s="6">
        <f>Actual!$B51</f>
        <v>1</v>
      </c>
      <c r="N53" s="9">
        <f>classify1!B51</f>
        <v>1</v>
      </c>
      <c r="O53" s="9">
        <f>classify2!B51</f>
        <v>1</v>
      </c>
      <c r="P53" s="9">
        <f>classify3!B51</f>
        <v>1</v>
      </c>
      <c r="Q53" s="9">
        <f>classify4!B51</f>
        <v>1</v>
      </c>
      <c r="R53" s="9">
        <f>classify5!B51</f>
        <v>1</v>
      </c>
      <c r="S53" s="10">
        <f t="shared" si="2"/>
        <v>1</v>
      </c>
      <c r="T53" s="11">
        <f t="shared" si="3"/>
        <v>1</v>
      </c>
    </row>
    <row r="54" spans="1:20" ht="14.25" customHeight="1">
      <c r="A54" s="5">
        <f t="shared" si="4"/>
        <v>51</v>
      </c>
      <c r="B54" s="6">
        <f>Actual!$B52</f>
        <v>1</v>
      </c>
      <c r="C54" s="9">
        <f>prompt1!B52</f>
        <v>1</v>
      </c>
      <c r="D54" s="9">
        <f>prompt2!B52</f>
        <v>1</v>
      </c>
      <c r="E54" s="9">
        <f>prompt3!B52</f>
        <v>1</v>
      </c>
      <c r="F54" s="9">
        <f>prompt4!B52</f>
        <v>1</v>
      </c>
      <c r="G54" s="9">
        <f>prompt5!B52</f>
        <v>1</v>
      </c>
      <c r="H54" s="10">
        <f t="shared" si="0"/>
        <v>1</v>
      </c>
      <c r="I54" s="11">
        <f t="shared" si="1"/>
        <v>1</v>
      </c>
      <c r="L54" s="5">
        <f t="shared" si="5"/>
        <v>51</v>
      </c>
      <c r="M54" s="6">
        <f>Actual!$B52</f>
        <v>1</v>
      </c>
      <c r="N54" s="9">
        <f>classify1!B52</f>
        <v>1</v>
      </c>
      <c r="O54" s="9">
        <f>classify2!B52</f>
        <v>1</v>
      </c>
      <c r="P54" s="9">
        <f>classify3!B52</f>
        <v>1</v>
      </c>
      <c r="Q54" s="9">
        <f>classify4!B52</f>
        <v>1</v>
      </c>
      <c r="R54" s="9">
        <f>classify5!B52</f>
        <v>1</v>
      </c>
      <c r="S54" s="10">
        <f t="shared" si="2"/>
        <v>1</v>
      </c>
      <c r="T54" s="11">
        <f t="shared" si="3"/>
        <v>1</v>
      </c>
    </row>
    <row r="55" spans="1:20" ht="14.25" customHeight="1">
      <c r="A55" s="5">
        <f t="shared" si="4"/>
        <v>52</v>
      </c>
      <c r="B55" s="6">
        <f>Actual!$B53</f>
        <v>0</v>
      </c>
      <c r="C55" s="9">
        <f>prompt1!B53</f>
        <v>0</v>
      </c>
      <c r="D55" s="9">
        <f>prompt2!B53</f>
        <v>0</v>
      </c>
      <c r="E55" s="9">
        <f>prompt3!B53</f>
        <v>0</v>
      </c>
      <c r="F55" s="9">
        <f>prompt4!B53</f>
        <v>0</v>
      </c>
      <c r="G55" s="9">
        <f>prompt5!B53</f>
        <v>0</v>
      </c>
      <c r="H55" s="10">
        <f t="shared" si="0"/>
        <v>1</v>
      </c>
      <c r="I55" s="11">
        <f t="shared" si="1"/>
        <v>1</v>
      </c>
      <c r="L55" s="5">
        <f t="shared" si="5"/>
        <v>52</v>
      </c>
      <c r="M55" s="6">
        <f>Actual!$B53</f>
        <v>0</v>
      </c>
      <c r="N55" s="9">
        <f>classify1!B53</f>
        <v>0</v>
      </c>
      <c r="O55" s="9">
        <f>classify2!B53</f>
        <v>0</v>
      </c>
      <c r="P55" s="9">
        <f>classify3!B53</f>
        <v>0</v>
      </c>
      <c r="Q55" s="9">
        <f>classify4!B53</f>
        <v>0</v>
      </c>
      <c r="R55" s="9">
        <f>classify5!B53</f>
        <v>0</v>
      </c>
      <c r="S55" s="10">
        <f t="shared" si="2"/>
        <v>1</v>
      </c>
      <c r="T55" s="11">
        <f t="shared" si="3"/>
        <v>1</v>
      </c>
    </row>
    <row r="56" spans="1:20" ht="14.25" customHeight="1">
      <c r="A56" s="5">
        <f t="shared" si="4"/>
        <v>53</v>
      </c>
      <c r="B56" s="6">
        <f>Actual!$B54</f>
        <v>0</v>
      </c>
      <c r="C56" s="9">
        <f>prompt1!B54</f>
        <v>0</v>
      </c>
      <c r="D56" s="9">
        <f>prompt2!B54</f>
        <v>0</v>
      </c>
      <c r="E56" s="9">
        <f>prompt3!B54</f>
        <v>0</v>
      </c>
      <c r="F56" s="9">
        <f>prompt4!B54</f>
        <v>0</v>
      </c>
      <c r="G56" s="9">
        <f>prompt5!B54</f>
        <v>0</v>
      </c>
      <c r="H56" s="10">
        <f t="shared" si="0"/>
        <v>1</v>
      </c>
      <c r="I56" s="11">
        <f t="shared" si="1"/>
        <v>1</v>
      </c>
      <c r="L56" s="5">
        <f t="shared" si="5"/>
        <v>53</v>
      </c>
      <c r="M56" s="6">
        <f>Actual!$B54</f>
        <v>0</v>
      </c>
      <c r="N56" s="9">
        <f>classify1!B54</f>
        <v>0</v>
      </c>
      <c r="O56" s="9">
        <f>classify2!B54</f>
        <v>0</v>
      </c>
      <c r="P56" s="9">
        <f>classify3!B54</f>
        <v>0</v>
      </c>
      <c r="Q56" s="9">
        <f>classify4!B54</f>
        <v>0</v>
      </c>
      <c r="R56" s="9">
        <f>classify5!B54</f>
        <v>0</v>
      </c>
      <c r="S56" s="10">
        <f t="shared" si="2"/>
        <v>1</v>
      </c>
      <c r="T56" s="11">
        <f t="shared" si="3"/>
        <v>1</v>
      </c>
    </row>
    <row r="57" spans="1:20" ht="14.25" customHeight="1">
      <c r="A57" s="5">
        <f t="shared" si="4"/>
        <v>54</v>
      </c>
      <c r="B57" s="6">
        <f>Actual!$B55</f>
        <v>1</v>
      </c>
      <c r="C57" s="9">
        <f>prompt1!B55</f>
        <v>0</v>
      </c>
      <c r="D57" s="9">
        <f>prompt2!B55</f>
        <v>0</v>
      </c>
      <c r="E57" s="9">
        <f>prompt3!B55</f>
        <v>0</v>
      </c>
      <c r="F57" s="9">
        <f>prompt4!B55</f>
        <v>0</v>
      </c>
      <c r="G57" s="9">
        <f>prompt5!B55</f>
        <v>0</v>
      </c>
      <c r="H57" s="10">
        <f t="shared" si="0"/>
        <v>0</v>
      </c>
      <c r="I57" s="11">
        <f t="shared" si="1"/>
        <v>1</v>
      </c>
      <c r="L57" s="5">
        <f t="shared" si="5"/>
        <v>54</v>
      </c>
      <c r="M57" s="6">
        <f>Actual!$B55</f>
        <v>1</v>
      </c>
      <c r="N57" s="9">
        <f>classify1!B55</f>
        <v>0</v>
      </c>
      <c r="O57" s="9">
        <f>classify2!B55</f>
        <v>0</v>
      </c>
      <c r="P57" s="9">
        <f>classify3!B55</f>
        <v>0</v>
      </c>
      <c r="Q57" s="9">
        <f>classify4!B55</f>
        <v>0</v>
      </c>
      <c r="R57" s="9">
        <f>classify5!B55</f>
        <v>0</v>
      </c>
      <c r="S57" s="10">
        <f t="shared" si="2"/>
        <v>0</v>
      </c>
      <c r="T57" s="11">
        <f t="shared" si="3"/>
        <v>1</v>
      </c>
    </row>
    <row r="58" spans="1:20" ht="14.25" customHeight="1">
      <c r="A58" s="5">
        <f t="shared" si="4"/>
        <v>55</v>
      </c>
      <c r="B58" s="6">
        <f>Actual!$B56</f>
        <v>1</v>
      </c>
      <c r="C58" s="9">
        <f>prompt1!B56</f>
        <v>1</v>
      </c>
      <c r="D58" s="9">
        <f>prompt2!B56</f>
        <v>1</v>
      </c>
      <c r="E58" s="9">
        <f>prompt3!B56</f>
        <v>1</v>
      </c>
      <c r="F58" s="9">
        <f>prompt4!B56</f>
        <v>1</v>
      </c>
      <c r="G58" s="9">
        <f>prompt5!B56</f>
        <v>1</v>
      </c>
      <c r="H58" s="10">
        <f t="shared" si="0"/>
        <v>1</v>
      </c>
      <c r="I58" s="11">
        <f t="shared" si="1"/>
        <v>1</v>
      </c>
      <c r="L58" s="5">
        <f t="shared" si="5"/>
        <v>55</v>
      </c>
      <c r="M58" s="6">
        <f>Actual!$B56</f>
        <v>1</v>
      </c>
      <c r="N58" s="9">
        <f>classify1!B56</f>
        <v>1</v>
      </c>
      <c r="O58" s="9">
        <f>classify2!B56</f>
        <v>1</v>
      </c>
      <c r="P58" s="9">
        <f>classify3!B56</f>
        <v>1</v>
      </c>
      <c r="Q58" s="9">
        <f>classify4!B56</f>
        <v>1</v>
      </c>
      <c r="R58" s="9">
        <f>classify5!B56</f>
        <v>1</v>
      </c>
      <c r="S58" s="10">
        <f t="shared" si="2"/>
        <v>1</v>
      </c>
      <c r="T58" s="11">
        <f t="shared" si="3"/>
        <v>1</v>
      </c>
    </row>
    <row r="59" spans="1:20" ht="14.25" customHeight="1">
      <c r="A59" s="5">
        <f t="shared" si="4"/>
        <v>56</v>
      </c>
      <c r="B59" s="6">
        <f>Actual!$B57</f>
        <v>1</v>
      </c>
      <c r="C59" s="9">
        <f>prompt1!B57</f>
        <v>0</v>
      </c>
      <c r="D59" s="9">
        <f>prompt2!B57</f>
        <v>0</v>
      </c>
      <c r="E59" s="9">
        <f>prompt3!B57</f>
        <v>0</v>
      </c>
      <c r="F59" s="9">
        <f>prompt4!B57</f>
        <v>0</v>
      </c>
      <c r="G59" s="9">
        <f>prompt5!B57</f>
        <v>0</v>
      </c>
      <c r="H59" s="10">
        <f t="shared" si="0"/>
        <v>0</v>
      </c>
      <c r="I59" s="11">
        <f t="shared" si="1"/>
        <v>1</v>
      </c>
      <c r="L59" s="5">
        <f t="shared" si="5"/>
        <v>56</v>
      </c>
      <c r="M59" s="6">
        <f>Actual!$B57</f>
        <v>1</v>
      </c>
      <c r="N59" s="9">
        <f>classify1!B57</f>
        <v>0</v>
      </c>
      <c r="O59" s="9">
        <f>classify2!B57</f>
        <v>0</v>
      </c>
      <c r="P59" s="9">
        <f>classify3!B57</f>
        <v>0</v>
      </c>
      <c r="Q59" s="9">
        <f>classify4!B57</f>
        <v>0</v>
      </c>
      <c r="R59" s="9">
        <f>classify5!B57</f>
        <v>0</v>
      </c>
      <c r="S59" s="10">
        <f t="shared" si="2"/>
        <v>0</v>
      </c>
      <c r="T59" s="11">
        <f t="shared" si="3"/>
        <v>1</v>
      </c>
    </row>
    <row r="60" spans="1:20" ht="14.25" customHeight="1">
      <c r="A60" s="5">
        <f t="shared" si="4"/>
        <v>57</v>
      </c>
      <c r="B60" s="6">
        <f>Actual!$B58</f>
        <v>1</v>
      </c>
      <c r="C60" s="9">
        <f>prompt1!B58</f>
        <v>1</v>
      </c>
      <c r="D60" s="9">
        <f>prompt2!B58</f>
        <v>1</v>
      </c>
      <c r="E60" s="9">
        <f>prompt3!B58</f>
        <v>1</v>
      </c>
      <c r="F60" s="9">
        <f>prompt4!B58</f>
        <v>1</v>
      </c>
      <c r="G60" s="9">
        <f>prompt5!B58</f>
        <v>1</v>
      </c>
      <c r="H60" s="10">
        <f t="shared" si="0"/>
        <v>1</v>
      </c>
      <c r="I60" s="11">
        <f t="shared" si="1"/>
        <v>1</v>
      </c>
      <c r="L60" s="5">
        <f t="shared" si="5"/>
        <v>57</v>
      </c>
      <c r="M60" s="6">
        <f>Actual!$B58</f>
        <v>1</v>
      </c>
      <c r="N60" s="9">
        <f>classify1!B58</f>
        <v>1</v>
      </c>
      <c r="O60" s="9">
        <f>classify2!B58</f>
        <v>1</v>
      </c>
      <c r="P60" s="9">
        <f>classify3!B58</f>
        <v>1</v>
      </c>
      <c r="Q60" s="9">
        <f>classify4!B58</f>
        <v>1</v>
      </c>
      <c r="R60" s="9">
        <f>classify5!B58</f>
        <v>1</v>
      </c>
      <c r="S60" s="10">
        <f t="shared" si="2"/>
        <v>1</v>
      </c>
      <c r="T60" s="11">
        <f t="shared" si="3"/>
        <v>1</v>
      </c>
    </row>
    <row r="61" spans="1:20" ht="14.25" customHeight="1">
      <c r="A61" s="5">
        <f t="shared" si="4"/>
        <v>58</v>
      </c>
      <c r="B61" s="6">
        <f>Actual!$B59</f>
        <v>1</v>
      </c>
      <c r="C61" s="9">
        <f>prompt1!B59</f>
        <v>1</v>
      </c>
      <c r="D61" s="9">
        <f>prompt2!B59</f>
        <v>1</v>
      </c>
      <c r="E61" s="9">
        <f>prompt3!B59</f>
        <v>1</v>
      </c>
      <c r="F61" s="9">
        <f>prompt4!B59</f>
        <v>1</v>
      </c>
      <c r="G61" s="9">
        <f>prompt5!B59</f>
        <v>1</v>
      </c>
      <c r="H61" s="10">
        <f t="shared" si="0"/>
        <v>1</v>
      </c>
      <c r="I61" s="11">
        <f t="shared" si="1"/>
        <v>1</v>
      </c>
      <c r="L61" s="5">
        <f t="shared" si="5"/>
        <v>58</v>
      </c>
      <c r="M61" s="6">
        <f>Actual!$B59</f>
        <v>1</v>
      </c>
      <c r="N61" s="9">
        <f>classify1!B59</f>
        <v>1</v>
      </c>
      <c r="O61" s="9">
        <f>classify2!B59</f>
        <v>1</v>
      </c>
      <c r="P61" s="9">
        <f>classify3!B59</f>
        <v>1</v>
      </c>
      <c r="Q61" s="9">
        <f>classify4!B59</f>
        <v>1</v>
      </c>
      <c r="R61" s="9">
        <f>classify5!B59</f>
        <v>1</v>
      </c>
      <c r="S61" s="10">
        <f t="shared" si="2"/>
        <v>1</v>
      </c>
      <c r="T61" s="11">
        <f t="shared" si="3"/>
        <v>1</v>
      </c>
    </row>
    <row r="62" spans="1:20" ht="14.25" customHeight="1">
      <c r="A62" s="5">
        <f t="shared" si="4"/>
        <v>59</v>
      </c>
      <c r="B62" s="6">
        <f>Actual!$B60</f>
        <v>1</v>
      </c>
      <c r="C62" s="9">
        <f>prompt1!B60</f>
        <v>1</v>
      </c>
      <c r="D62" s="9">
        <f>prompt2!B60</f>
        <v>1</v>
      </c>
      <c r="E62" s="9">
        <f>prompt3!B60</f>
        <v>1</v>
      </c>
      <c r="F62" s="9">
        <f>prompt4!B60</f>
        <v>1</v>
      </c>
      <c r="G62" s="9">
        <f>prompt5!B60</f>
        <v>1</v>
      </c>
      <c r="H62" s="10">
        <f t="shared" si="0"/>
        <v>1</v>
      </c>
      <c r="I62" s="11">
        <f t="shared" si="1"/>
        <v>1</v>
      </c>
      <c r="L62" s="5">
        <f t="shared" si="5"/>
        <v>59</v>
      </c>
      <c r="M62" s="6">
        <f>Actual!$B60</f>
        <v>1</v>
      </c>
      <c r="N62" s="9">
        <f>classify1!B60</f>
        <v>1</v>
      </c>
      <c r="O62" s="9">
        <f>classify2!B60</f>
        <v>1</v>
      </c>
      <c r="P62" s="9">
        <f>classify3!B60</f>
        <v>1</v>
      </c>
      <c r="Q62" s="9">
        <f>classify4!B60</f>
        <v>1</v>
      </c>
      <c r="R62" s="9">
        <f>classify5!B60</f>
        <v>1</v>
      </c>
      <c r="S62" s="10">
        <f t="shared" si="2"/>
        <v>1</v>
      </c>
      <c r="T62" s="11">
        <f t="shared" si="3"/>
        <v>1</v>
      </c>
    </row>
    <row r="63" spans="1:20" ht="14.25" customHeight="1">
      <c r="A63" s="5">
        <f t="shared" si="4"/>
        <v>60</v>
      </c>
      <c r="B63" s="6">
        <f>Actual!$B61</f>
        <v>1</v>
      </c>
      <c r="C63" s="9">
        <f>prompt1!B61</f>
        <v>1</v>
      </c>
      <c r="D63" s="9">
        <f>prompt2!B61</f>
        <v>1</v>
      </c>
      <c r="E63" s="9">
        <f>prompt3!B61</f>
        <v>1</v>
      </c>
      <c r="F63" s="9">
        <f>prompt4!B61</f>
        <v>1</v>
      </c>
      <c r="G63" s="9">
        <f>prompt5!B61</f>
        <v>1</v>
      </c>
      <c r="H63" s="10">
        <f t="shared" si="0"/>
        <v>1</v>
      </c>
      <c r="I63" s="11">
        <f t="shared" si="1"/>
        <v>1</v>
      </c>
      <c r="L63" s="5">
        <f t="shared" si="5"/>
        <v>60</v>
      </c>
      <c r="M63" s="6">
        <f>Actual!$B61</f>
        <v>1</v>
      </c>
      <c r="N63" s="9">
        <f>classify1!B61</f>
        <v>1</v>
      </c>
      <c r="O63" s="9">
        <f>classify2!B61</f>
        <v>1</v>
      </c>
      <c r="P63" s="9">
        <f>classify3!B61</f>
        <v>1</v>
      </c>
      <c r="Q63" s="9">
        <f>classify4!B61</f>
        <v>1</v>
      </c>
      <c r="R63" s="9">
        <f>classify5!B61</f>
        <v>1</v>
      </c>
      <c r="S63" s="10">
        <f t="shared" si="2"/>
        <v>1</v>
      </c>
      <c r="T63" s="11">
        <f t="shared" si="3"/>
        <v>1</v>
      </c>
    </row>
    <row r="64" spans="1:20" ht="14.25" customHeight="1">
      <c r="A64" s="5">
        <f t="shared" si="4"/>
        <v>61</v>
      </c>
      <c r="B64" s="6">
        <f>Actual!$B62</f>
        <v>1</v>
      </c>
      <c r="C64" s="9">
        <f>prompt1!B62</f>
        <v>1</v>
      </c>
      <c r="D64" s="9">
        <f>prompt2!B62</f>
        <v>1</v>
      </c>
      <c r="E64" s="9">
        <f>prompt3!B62</f>
        <v>1</v>
      </c>
      <c r="F64" s="9">
        <f>prompt4!B62</f>
        <v>1</v>
      </c>
      <c r="G64" s="9">
        <f>prompt5!B62</f>
        <v>1</v>
      </c>
      <c r="H64" s="10">
        <f t="shared" si="0"/>
        <v>1</v>
      </c>
      <c r="I64" s="11">
        <f t="shared" si="1"/>
        <v>1</v>
      </c>
      <c r="L64" s="5">
        <f t="shared" si="5"/>
        <v>61</v>
      </c>
      <c r="M64" s="6">
        <f>Actual!$B62</f>
        <v>1</v>
      </c>
      <c r="N64" s="9">
        <f>classify1!B62</f>
        <v>1</v>
      </c>
      <c r="O64" s="9">
        <f>classify2!B62</f>
        <v>1</v>
      </c>
      <c r="P64" s="9">
        <f>classify3!B62</f>
        <v>1</v>
      </c>
      <c r="Q64" s="9">
        <f>classify4!B62</f>
        <v>1</v>
      </c>
      <c r="R64" s="9">
        <f>classify5!B62</f>
        <v>1</v>
      </c>
      <c r="S64" s="10">
        <f t="shared" si="2"/>
        <v>1</v>
      </c>
      <c r="T64" s="11">
        <f t="shared" si="3"/>
        <v>1</v>
      </c>
    </row>
    <row r="65" spans="1:20" ht="14.25" customHeight="1">
      <c r="A65" s="5">
        <f t="shared" si="4"/>
        <v>62</v>
      </c>
      <c r="B65" s="6">
        <f>Actual!$B63</f>
        <v>1</v>
      </c>
      <c r="C65" s="9">
        <f>prompt1!B63</f>
        <v>0</v>
      </c>
      <c r="D65" s="9">
        <f>prompt2!B63</f>
        <v>0</v>
      </c>
      <c r="E65" s="9">
        <f>prompt3!B63</f>
        <v>0</v>
      </c>
      <c r="F65" s="9">
        <f>prompt4!B63</f>
        <v>0</v>
      </c>
      <c r="G65" s="9">
        <f>prompt5!B63</f>
        <v>0</v>
      </c>
      <c r="H65" s="10">
        <f t="shared" si="0"/>
        <v>0</v>
      </c>
      <c r="I65" s="11">
        <f t="shared" si="1"/>
        <v>1</v>
      </c>
      <c r="L65" s="5">
        <f t="shared" si="5"/>
        <v>62</v>
      </c>
      <c r="M65" s="6">
        <f>Actual!$B63</f>
        <v>1</v>
      </c>
      <c r="N65" s="9">
        <f>classify1!B63</f>
        <v>0</v>
      </c>
      <c r="O65" s="9">
        <f>classify2!B63</f>
        <v>0</v>
      </c>
      <c r="P65" s="9">
        <f>classify3!B63</f>
        <v>0</v>
      </c>
      <c r="Q65" s="9">
        <f>classify4!B63</f>
        <v>0</v>
      </c>
      <c r="R65" s="9">
        <f>classify5!B63</f>
        <v>0</v>
      </c>
      <c r="S65" s="10">
        <f t="shared" si="2"/>
        <v>0</v>
      </c>
      <c r="T65" s="11">
        <f t="shared" si="3"/>
        <v>1</v>
      </c>
    </row>
    <row r="66" spans="1:20" ht="14.25" customHeight="1">
      <c r="A66" s="5">
        <f t="shared" si="4"/>
        <v>63</v>
      </c>
      <c r="B66" s="6">
        <f>Actual!$B64</f>
        <v>0</v>
      </c>
      <c r="C66" s="9">
        <f>prompt1!B64</f>
        <v>1</v>
      </c>
      <c r="D66" s="9">
        <f>prompt2!B64</f>
        <v>1</v>
      </c>
      <c r="E66" s="9">
        <f>prompt3!B64</f>
        <v>1</v>
      </c>
      <c r="F66" s="9">
        <f>prompt4!B64</f>
        <v>1</v>
      </c>
      <c r="G66" s="9">
        <f>prompt5!B64</f>
        <v>1</v>
      </c>
      <c r="H66" s="10">
        <f t="shared" si="0"/>
        <v>0</v>
      </c>
      <c r="I66" s="11">
        <f t="shared" si="1"/>
        <v>1</v>
      </c>
      <c r="L66" s="5">
        <f t="shared" si="5"/>
        <v>63</v>
      </c>
      <c r="M66" s="6">
        <f>Actual!$B64</f>
        <v>0</v>
      </c>
      <c r="N66" s="9">
        <f>classify1!B64</f>
        <v>1</v>
      </c>
      <c r="O66" s="9">
        <f>classify2!B64</f>
        <v>1</v>
      </c>
      <c r="P66" s="9">
        <f>classify3!B64</f>
        <v>1</v>
      </c>
      <c r="Q66" s="9">
        <f>classify4!B64</f>
        <v>1</v>
      </c>
      <c r="R66" s="9">
        <f>classify5!B64</f>
        <v>1</v>
      </c>
      <c r="S66" s="10">
        <f t="shared" si="2"/>
        <v>0</v>
      </c>
      <c r="T66" s="11">
        <f t="shared" si="3"/>
        <v>1</v>
      </c>
    </row>
    <row r="67" spans="1:20" ht="14.25" customHeight="1">
      <c r="A67" s="12"/>
      <c r="B67" s="13" t="s">
        <v>18</v>
      </c>
      <c r="C67" s="14">
        <f t="array" ref="C67">SUMPRODUCT(--(C4:C66=B4:B66)) / COUNTA(B4:B66)</f>
        <v>0.82539682539682535</v>
      </c>
      <c r="D67" s="14">
        <f t="array" ref="D67">SUMPRODUCT(--(D4:D66=B4:B66)) / COUNTA(B4:B66)</f>
        <v>0.84126984126984128</v>
      </c>
      <c r="E67" s="14">
        <f t="array" ref="E67">SUMPRODUCT(--(E4:E66=B4:B66)) / COUNTA(B4:B66)</f>
        <v>0.84126984126984128</v>
      </c>
      <c r="F67" s="14">
        <f t="array" ref="F67">SUMPRODUCT(--(F4:F66=B4:B66)) / COUNTA(B4:B66)</f>
        <v>0.84126984126984128</v>
      </c>
      <c r="G67" s="14">
        <f t="array" ref="G67">SUMPRODUCT(--(G4:G66=B4:B66)) / COUNTA(B4:B66)</f>
        <v>0.84126984126984128</v>
      </c>
      <c r="H67" s="14">
        <f>AVERAGE(H4:H66)</f>
        <v>0.838095238095238</v>
      </c>
      <c r="I67" s="15">
        <f>AVERAGE(I4:J66)</f>
        <v>0.9904761904761904</v>
      </c>
      <c r="L67" s="12"/>
      <c r="M67" s="13" t="s">
        <v>18</v>
      </c>
      <c r="N67" s="14">
        <f t="array" ref="N67">SUMPRODUCT(--(N4:N66=M4:M66)) / COUNTA(M4:M66)</f>
        <v>0.82539682539682535</v>
      </c>
      <c r="O67" s="14">
        <f t="array" ref="O67">SUMPRODUCT(--(O4:O66=M4:M66)) / COUNTA(M4:M66)</f>
        <v>0.84126984126984128</v>
      </c>
      <c r="P67" s="14">
        <f t="array" ref="P67">SUMPRODUCT(--(P4:P66=M4:M66)) / COUNTA(M4:M66)</f>
        <v>0.82539682539682535</v>
      </c>
      <c r="Q67" s="14">
        <f t="array" ref="Q67">SUMPRODUCT(--(Q4:Q66=M4:M66)) / COUNTA(M4:M66)</f>
        <v>0.84126984126984128</v>
      </c>
      <c r="R67" s="14">
        <f t="array" ref="R67">SUMPRODUCT(--(R4:R66=M4:M66)) / COUNTA(M4:M66)</f>
        <v>0.84126984126984128</v>
      </c>
      <c r="S67" s="14">
        <f t="shared" ref="S67:T67" si="6">AVERAGE(S4:S66)</f>
        <v>0.83492063492063495</v>
      </c>
      <c r="T67" s="15">
        <f t="shared" si="6"/>
        <v>0.98095238095238102</v>
      </c>
    </row>
    <row r="68" spans="1:20" ht="14.25" customHeight="1"/>
    <row r="69" spans="1:20" ht="14.25" customHeight="1"/>
    <row r="70" spans="1:20" ht="14.25" customHeight="1"/>
    <row r="71" spans="1:20" ht="14.25" customHeight="1"/>
    <row r="72" spans="1:20" ht="14.25" customHeight="1"/>
    <row r="73" spans="1:20" ht="14.25" customHeight="1"/>
    <row r="74" spans="1:20" ht="14.25" customHeight="1"/>
    <row r="75" spans="1:20" ht="14.25" customHeight="1"/>
    <row r="76" spans="1:20" ht="14.25" customHeight="1"/>
    <row r="77" spans="1:20" ht="14.25" customHeight="1"/>
    <row r="78" spans="1:20" ht="14.25" customHeight="1"/>
    <row r="79" spans="1:20" ht="14.25" customHeight="1"/>
    <row r="80" spans="1:2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sheetData>
  <mergeCells count="3">
    <mergeCell ref="A1:T1"/>
    <mergeCell ref="A2:I2"/>
    <mergeCell ref="L2:T2"/>
  </mergeCells>
  <conditionalFormatting sqref="C4:D66">
    <cfRule type="expression" dxfId="7" priority="1">
      <formula>C4=$B4</formula>
    </cfRule>
  </conditionalFormatting>
  <conditionalFormatting sqref="C4:E66">
    <cfRule type="expression" dxfId="6" priority="2">
      <formula>C4&lt;&gt;$B4</formula>
    </cfRule>
  </conditionalFormatting>
  <conditionalFormatting sqref="E4:G66">
    <cfRule type="expression" dxfId="5" priority="3">
      <formula>E4=$B4</formula>
    </cfRule>
  </conditionalFormatting>
  <conditionalFormatting sqref="F4:G66">
    <cfRule type="expression" dxfId="4" priority="4">
      <formula>F4&lt;&gt;$B4</formula>
    </cfRule>
  </conditionalFormatting>
  <conditionalFormatting sqref="N4:O66">
    <cfRule type="expression" dxfId="3" priority="5">
      <formula>N4=$B4</formula>
    </cfRule>
  </conditionalFormatting>
  <conditionalFormatting sqref="N4:P66">
    <cfRule type="expression" dxfId="2" priority="6">
      <formula>N4&lt;&gt;$B4</formula>
    </cfRule>
  </conditionalFormatting>
  <conditionalFormatting sqref="P4:R66">
    <cfRule type="expression" dxfId="1" priority="7">
      <formula>P4=$B4</formula>
    </cfRule>
  </conditionalFormatting>
  <conditionalFormatting sqref="Q4:R66">
    <cfRule type="expression" dxfId="0" priority="8">
      <formula>Q4&lt;&gt;$B4</formula>
    </cfRule>
  </conditionalFormatting>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00"/>
  <sheetViews>
    <sheetView workbookViewId="0"/>
  </sheetViews>
  <sheetFormatPr defaultColWidth="12.6640625" defaultRowHeight="15" customHeight="1"/>
  <cols>
    <col min="1" max="1" width="8.6640625" customWidth="1"/>
    <col min="2" max="2" width="11.109375" customWidth="1"/>
    <col min="3" max="26" width="8.6640625" customWidth="1"/>
  </cols>
  <sheetData>
    <row r="1" spans="1:6" ht="14.25" customHeight="1">
      <c r="A1" s="6" t="s">
        <v>0</v>
      </c>
      <c r="B1" s="6" t="s">
        <v>19</v>
      </c>
      <c r="C1" s="4" t="s">
        <v>20</v>
      </c>
      <c r="D1" s="4" t="s">
        <v>21</v>
      </c>
      <c r="E1" s="6"/>
      <c r="F1" s="6"/>
    </row>
    <row r="2" spans="1:6" ht="14.25" customHeight="1">
      <c r="A2" s="3">
        <v>1</v>
      </c>
      <c r="B2" s="3">
        <v>1</v>
      </c>
      <c r="C2" s="4">
        <v>85</v>
      </c>
      <c r="D2" s="4" t="s">
        <v>22</v>
      </c>
      <c r="E2" s="3"/>
      <c r="F2" s="3"/>
    </row>
    <row r="3" spans="1:6" ht="14.25" customHeight="1">
      <c r="A3" s="3">
        <v>2</v>
      </c>
      <c r="B3" s="3">
        <v>0</v>
      </c>
      <c r="C3" s="4">
        <v>85</v>
      </c>
      <c r="D3" s="4" t="s">
        <v>23</v>
      </c>
      <c r="E3" s="3"/>
      <c r="F3" s="3"/>
    </row>
    <row r="4" spans="1:6" ht="14.25" customHeight="1">
      <c r="A4" s="3">
        <v>3</v>
      </c>
      <c r="B4" s="3">
        <v>1</v>
      </c>
      <c r="C4" s="4">
        <v>87</v>
      </c>
      <c r="D4" s="4" t="s">
        <v>24</v>
      </c>
      <c r="E4" s="3"/>
      <c r="F4" s="3"/>
    </row>
    <row r="5" spans="1:6" ht="14.25" customHeight="1">
      <c r="A5" s="3">
        <v>4</v>
      </c>
      <c r="B5" s="3">
        <v>0</v>
      </c>
      <c r="C5" s="4">
        <v>85</v>
      </c>
      <c r="D5" s="4" t="s">
        <v>25</v>
      </c>
      <c r="E5" s="3"/>
      <c r="F5" s="3"/>
    </row>
    <row r="6" spans="1:6" ht="14.25" customHeight="1">
      <c r="A6" s="3">
        <v>5</v>
      </c>
      <c r="B6" s="3">
        <v>1</v>
      </c>
      <c r="C6" s="4">
        <v>78</v>
      </c>
      <c r="D6" s="4" t="s">
        <v>26</v>
      </c>
      <c r="E6" s="3"/>
      <c r="F6" s="3"/>
    </row>
    <row r="7" spans="1:6" ht="14.25" customHeight="1">
      <c r="A7" s="3">
        <v>6</v>
      </c>
      <c r="B7" s="3">
        <v>1</v>
      </c>
      <c r="C7" s="4">
        <v>77</v>
      </c>
      <c r="D7" s="4" t="s">
        <v>27</v>
      </c>
      <c r="E7" s="3"/>
      <c r="F7" s="3"/>
    </row>
    <row r="8" spans="1:6" ht="14.25" customHeight="1">
      <c r="A8" s="3">
        <v>7</v>
      </c>
      <c r="B8" s="3">
        <v>0</v>
      </c>
      <c r="C8" s="4">
        <v>85</v>
      </c>
      <c r="D8" s="4" t="s">
        <v>28</v>
      </c>
      <c r="E8" s="3"/>
      <c r="F8" s="3"/>
    </row>
    <row r="9" spans="1:6" ht="14.25" customHeight="1">
      <c r="A9" s="3">
        <v>8</v>
      </c>
      <c r="B9" s="3">
        <v>0</v>
      </c>
      <c r="C9" s="4">
        <v>85</v>
      </c>
      <c r="D9" s="4" t="s">
        <v>29</v>
      </c>
      <c r="E9" s="3"/>
      <c r="F9" s="3"/>
    </row>
    <row r="10" spans="1:6" ht="14.25" customHeight="1">
      <c r="A10" s="3">
        <v>9</v>
      </c>
      <c r="B10" s="3">
        <v>1</v>
      </c>
      <c r="C10" s="4">
        <v>85</v>
      </c>
      <c r="D10" s="4" t="s">
        <v>30</v>
      </c>
      <c r="E10" s="3"/>
      <c r="F10" s="3"/>
    </row>
    <row r="11" spans="1:6" ht="14.25" customHeight="1">
      <c r="A11" s="3">
        <v>10</v>
      </c>
      <c r="B11" s="3">
        <v>0</v>
      </c>
      <c r="C11" s="4">
        <v>65</v>
      </c>
      <c r="D11" s="4" t="s">
        <v>31</v>
      </c>
      <c r="E11" s="3"/>
      <c r="F11" s="3"/>
    </row>
    <row r="12" spans="1:6" ht="14.25" customHeight="1">
      <c r="A12" s="3">
        <v>11</v>
      </c>
      <c r="B12" s="3">
        <v>0</v>
      </c>
      <c r="C12" s="4">
        <v>65</v>
      </c>
      <c r="D12" s="4" t="s">
        <v>32</v>
      </c>
      <c r="E12" s="3"/>
      <c r="F12" s="3"/>
    </row>
    <row r="13" spans="1:6" ht="14.25" customHeight="1">
      <c r="A13" s="3">
        <v>12</v>
      </c>
      <c r="B13" s="3">
        <v>0</v>
      </c>
      <c r="C13" s="4">
        <v>85</v>
      </c>
      <c r="D13" s="4" t="s">
        <v>33</v>
      </c>
      <c r="E13" s="3"/>
      <c r="F13" s="3"/>
    </row>
    <row r="14" spans="1:6" ht="14.25" customHeight="1">
      <c r="A14" s="3">
        <v>13</v>
      </c>
      <c r="B14" s="3">
        <v>1</v>
      </c>
      <c r="C14" s="4">
        <v>76</v>
      </c>
      <c r="D14" s="4" t="s">
        <v>34</v>
      </c>
      <c r="E14" s="3"/>
      <c r="F14" s="3"/>
    </row>
    <row r="15" spans="1:6" ht="14.25" customHeight="1">
      <c r="A15" s="3">
        <v>14</v>
      </c>
      <c r="B15" s="3">
        <v>1</v>
      </c>
      <c r="C15" s="4">
        <v>70</v>
      </c>
      <c r="D15" s="4" t="s">
        <v>35</v>
      </c>
      <c r="E15" s="3"/>
      <c r="F15" s="3"/>
    </row>
    <row r="16" spans="1:6" ht="14.25" customHeight="1">
      <c r="A16" s="3">
        <v>15</v>
      </c>
      <c r="B16" s="3">
        <v>0</v>
      </c>
      <c r="C16" s="4">
        <v>85</v>
      </c>
      <c r="D16" s="4" t="s">
        <v>36</v>
      </c>
      <c r="E16" s="3"/>
      <c r="F16" s="3"/>
    </row>
    <row r="17" spans="1:6" ht="14.25" customHeight="1">
      <c r="A17" s="3">
        <v>16</v>
      </c>
      <c r="B17" s="3">
        <v>1</v>
      </c>
      <c r="C17" s="4">
        <v>85</v>
      </c>
      <c r="D17" s="4" t="s">
        <v>37</v>
      </c>
      <c r="E17" s="3"/>
      <c r="F17" s="3"/>
    </row>
    <row r="18" spans="1:6" ht="14.25" customHeight="1">
      <c r="A18" s="3">
        <v>17</v>
      </c>
      <c r="B18" s="3">
        <v>0</v>
      </c>
      <c r="C18" s="4">
        <v>85</v>
      </c>
      <c r="D18" s="4" t="s">
        <v>38</v>
      </c>
      <c r="E18" s="3"/>
      <c r="F18" s="3"/>
    </row>
    <row r="19" spans="1:6" ht="14.25" customHeight="1">
      <c r="A19" s="3">
        <v>18</v>
      </c>
      <c r="B19" s="3">
        <v>1</v>
      </c>
      <c r="C19" s="4">
        <v>73</v>
      </c>
      <c r="D19" s="4" t="s">
        <v>39</v>
      </c>
      <c r="E19" s="3"/>
      <c r="F19" s="3"/>
    </row>
    <row r="20" spans="1:6" ht="14.25" customHeight="1">
      <c r="A20" s="3">
        <v>19</v>
      </c>
      <c r="B20" s="3">
        <v>1</v>
      </c>
      <c r="C20" s="4">
        <v>77</v>
      </c>
      <c r="D20" s="4" t="s">
        <v>40</v>
      </c>
      <c r="E20" s="3"/>
      <c r="F20" s="3"/>
    </row>
    <row r="21" spans="1:6" ht="14.25" customHeight="1">
      <c r="A21" s="3">
        <v>20</v>
      </c>
      <c r="B21" s="3">
        <v>1</v>
      </c>
      <c r="C21" s="4">
        <v>85</v>
      </c>
      <c r="D21" s="4" t="s">
        <v>41</v>
      </c>
      <c r="E21" s="3"/>
      <c r="F21" s="3"/>
    </row>
    <row r="22" spans="1:6" ht="14.25" customHeight="1">
      <c r="A22" s="3">
        <v>21</v>
      </c>
      <c r="B22" s="3">
        <v>1</v>
      </c>
      <c r="C22" s="4">
        <v>70</v>
      </c>
      <c r="D22" s="4" t="s">
        <v>42</v>
      </c>
      <c r="E22" s="3"/>
      <c r="F22" s="3"/>
    </row>
    <row r="23" spans="1:6" ht="14.25" customHeight="1">
      <c r="A23" s="3">
        <v>22</v>
      </c>
      <c r="B23" s="3">
        <v>1</v>
      </c>
      <c r="C23" s="4">
        <v>85</v>
      </c>
      <c r="D23" s="4" t="s">
        <v>43</v>
      </c>
      <c r="E23" s="3"/>
      <c r="F23" s="3"/>
    </row>
    <row r="24" spans="1:6" ht="14.25" customHeight="1">
      <c r="A24" s="3">
        <v>23</v>
      </c>
      <c r="B24" s="3">
        <v>1</v>
      </c>
      <c r="C24" s="4">
        <v>85</v>
      </c>
      <c r="D24" s="4" t="s">
        <v>44</v>
      </c>
      <c r="E24" s="3"/>
      <c r="F24" s="3"/>
    </row>
    <row r="25" spans="1:6" ht="14.25" customHeight="1">
      <c r="A25" s="3">
        <v>24</v>
      </c>
      <c r="B25" s="3">
        <v>1</v>
      </c>
      <c r="C25" s="4">
        <v>85</v>
      </c>
      <c r="D25" s="4" t="s">
        <v>45</v>
      </c>
      <c r="E25" s="3"/>
      <c r="F25" s="3"/>
    </row>
    <row r="26" spans="1:6" ht="14.25" customHeight="1">
      <c r="A26" s="3">
        <v>25</v>
      </c>
      <c r="B26" s="3">
        <v>1</v>
      </c>
      <c r="C26" s="4">
        <v>78</v>
      </c>
      <c r="D26" s="4" t="s">
        <v>46</v>
      </c>
      <c r="E26" s="3"/>
      <c r="F26" s="3"/>
    </row>
    <row r="27" spans="1:6" ht="14.25" customHeight="1">
      <c r="A27" s="3">
        <v>26</v>
      </c>
      <c r="B27" s="3">
        <v>1</v>
      </c>
      <c r="C27" s="4">
        <v>77</v>
      </c>
      <c r="D27" s="4" t="s">
        <v>47</v>
      </c>
      <c r="E27" s="3"/>
      <c r="F27" s="3"/>
    </row>
    <row r="28" spans="1:6" ht="14.25" customHeight="1">
      <c r="A28" s="3">
        <v>27</v>
      </c>
      <c r="B28" s="3">
        <v>1</v>
      </c>
      <c r="C28" s="4">
        <v>76</v>
      </c>
      <c r="D28" s="4" t="s">
        <v>48</v>
      </c>
      <c r="E28" s="3"/>
      <c r="F28" s="3"/>
    </row>
    <row r="29" spans="1:6" ht="14.25" customHeight="1">
      <c r="A29" s="3">
        <v>28</v>
      </c>
      <c r="B29" s="3">
        <v>1</v>
      </c>
      <c r="C29" s="4">
        <v>85</v>
      </c>
      <c r="D29" s="4" t="s">
        <v>49</v>
      </c>
      <c r="E29" s="3"/>
      <c r="F29" s="3"/>
    </row>
    <row r="30" spans="1:6" ht="14.25" customHeight="1">
      <c r="A30" s="3">
        <v>29</v>
      </c>
      <c r="B30" s="3">
        <v>1</v>
      </c>
      <c r="C30" s="4">
        <v>85</v>
      </c>
      <c r="D30" s="4" t="s">
        <v>50</v>
      </c>
      <c r="E30" s="3"/>
      <c r="F30" s="3"/>
    </row>
    <row r="31" spans="1:6" ht="14.25" customHeight="1">
      <c r="A31" s="3">
        <v>30</v>
      </c>
      <c r="B31" s="3">
        <v>0</v>
      </c>
      <c r="C31" s="4">
        <v>85</v>
      </c>
      <c r="D31" s="4" t="s">
        <v>51</v>
      </c>
      <c r="E31" s="3"/>
      <c r="F31" s="3"/>
    </row>
    <row r="32" spans="1:6" ht="14.25" customHeight="1">
      <c r="A32" s="4">
        <v>31</v>
      </c>
      <c r="B32" s="4">
        <v>1</v>
      </c>
      <c r="C32" s="4">
        <v>77</v>
      </c>
      <c r="D32" s="4" t="s">
        <v>52</v>
      </c>
    </row>
    <row r="33" spans="1:4" ht="14.25" customHeight="1">
      <c r="A33" s="4">
        <v>32</v>
      </c>
      <c r="B33" s="4">
        <v>0</v>
      </c>
      <c r="C33" s="4">
        <v>85</v>
      </c>
      <c r="D33" s="4" t="s">
        <v>53</v>
      </c>
    </row>
    <row r="34" spans="1:4" ht="14.25" customHeight="1">
      <c r="A34" s="4">
        <v>33</v>
      </c>
      <c r="B34" s="4">
        <v>0</v>
      </c>
      <c r="C34" s="4">
        <v>85</v>
      </c>
      <c r="D34" s="4" t="s">
        <v>54</v>
      </c>
    </row>
    <row r="35" spans="1:4" ht="14.25" customHeight="1">
      <c r="A35" s="4">
        <v>34</v>
      </c>
      <c r="B35" s="4">
        <v>0</v>
      </c>
      <c r="C35" s="4">
        <v>85</v>
      </c>
      <c r="D35" s="4" t="s">
        <v>55</v>
      </c>
    </row>
    <row r="36" spans="1:4" ht="14.25" customHeight="1">
      <c r="A36" s="4">
        <v>35</v>
      </c>
      <c r="B36" s="4">
        <v>0</v>
      </c>
      <c r="C36" s="4">
        <v>85</v>
      </c>
      <c r="D36" s="4" t="s">
        <v>56</v>
      </c>
    </row>
    <row r="37" spans="1:4" ht="14.25" customHeight="1">
      <c r="A37" s="4">
        <v>36</v>
      </c>
      <c r="B37" s="4">
        <v>0</v>
      </c>
      <c r="C37" s="4">
        <v>85</v>
      </c>
      <c r="D37" s="4" t="s">
        <v>57</v>
      </c>
    </row>
    <row r="38" spans="1:4" ht="14.25" customHeight="1">
      <c r="A38" s="4">
        <v>37</v>
      </c>
      <c r="B38" s="4">
        <v>1</v>
      </c>
      <c r="C38" s="4">
        <v>76</v>
      </c>
      <c r="D38" s="4" t="s">
        <v>58</v>
      </c>
    </row>
    <row r="39" spans="1:4" ht="14.25" customHeight="1">
      <c r="A39" s="4">
        <v>38</v>
      </c>
      <c r="B39" s="4">
        <v>0</v>
      </c>
      <c r="C39" s="4">
        <v>85</v>
      </c>
      <c r="D39" s="4" t="s">
        <v>59</v>
      </c>
    </row>
    <row r="40" spans="1:4" ht="14.25" customHeight="1">
      <c r="A40" s="4">
        <v>39</v>
      </c>
      <c r="B40" s="4">
        <v>1</v>
      </c>
      <c r="C40" s="4">
        <v>77</v>
      </c>
      <c r="D40" s="4" t="s">
        <v>60</v>
      </c>
    </row>
    <row r="41" spans="1:4" ht="14.25" customHeight="1">
      <c r="A41" s="4">
        <v>40</v>
      </c>
      <c r="B41" s="4">
        <v>1</v>
      </c>
      <c r="C41" s="4">
        <v>85</v>
      </c>
      <c r="D41" s="4" t="s">
        <v>61</v>
      </c>
    </row>
    <row r="42" spans="1:4" ht="14.25" customHeight="1">
      <c r="A42" s="4">
        <v>41</v>
      </c>
      <c r="B42" s="4">
        <v>1</v>
      </c>
      <c r="C42" s="4">
        <v>85</v>
      </c>
      <c r="D42" s="4" t="s">
        <v>62</v>
      </c>
    </row>
    <row r="43" spans="1:4" ht="14.25" customHeight="1">
      <c r="A43" s="4">
        <v>42</v>
      </c>
      <c r="B43" s="4">
        <v>0</v>
      </c>
      <c r="C43" s="4">
        <v>85</v>
      </c>
      <c r="D43" s="4" t="s">
        <v>63</v>
      </c>
    </row>
    <row r="44" spans="1:4" ht="14.25" customHeight="1">
      <c r="A44" s="4">
        <v>43</v>
      </c>
      <c r="B44" s="4">
        <v>0</v>
      </c>
      <c r="C44" s="4">
        <v>85</v>
      </c>
      <c r="D44" s="4" t="s">
        <v>64</v>
      </c>
    </row>
    <row r="45" spans="1:4" ht="14.25" customHeight="1">
      <c r="A45" s="4">
        <v>44</v>
      </c>
      <c r="B45" s="4">
        <v>0</v>
      </c>
      <c r="C45" s="4">
        <v>60</v>
      </c>
      <c r="D45" s="4" t="s">
        <v>65</v>
      </c>
    </row>
    <row r="46" spans="1:4" ht="14.25" customHeight="1">
      <c r="A46" s="4">
        <v>45</v>
      </c>
      <c r="B46" s="4">
        <v>0</v>
      </c>
      <c r="C46" s="4">
        <v>65</v>
      </c>
      <c r="D46" s="4" t="s">
        <v>66</v>
      </c>
    </row>
    <row r="47" spans="1:4" ht="14.25" customHeight="1">
      <c r="A47" s="4">
        <v>46</v>
      </c>
      <c r="B47" s="4">
        <v>0</v>
      </c>
      <c r="C47" s="4">
        <v>85</v>
      </c>
      <c r="D47" s="4" t="s">
        <v>67</v>
      </c>
    </row>
    <row r="48" spans="1:4" ht="14.25" customHeight="1">
      <c r="A48" s="4">
        <v>47</v>
      </c>
      <c r="B48" s="4">
        <v>1</v>
      </c>
      <c r="C48" s="4">
        <v>77</v>
      </c>
      <c r="D48" s="4" t="s">
        <v>68</v>
      </c>
    </row>
    <row r="49" spans="1:4" ht="14.25" customHeight="1">
      <c r="A49" s="4">
        <v>48</v>
      </c>
      <c r="B49" s="4">
        <v>0</v>
      </c>
      <c r="C49" s="4">
        <v>60</v>
      </c>
      <c r="D49" s="4" t="s">
        <v>69</v>
      </c>
    </row>
    <row r="50" spans="1:4" ht="14.25" customHeight="1">
      <c r="A50" s="4">
        <v>49</v>
      </c>
      <c r="B50" s="4">
        <v>1</v>
      </c>
      <c r="C50" s="4">
        <v>78</v>
      </c>
      <c r="D50" s="4" t="s">
        <v>70</v>
      </c>
    </row>
    <row r="51" spans="1:4" ht="14.25" customHeight="1">
      <c r="A51" s="4">
        <v>50</v>
      </c>
      <c r="B51" s="4">
        <v>1</v>
      </c>
      <c r="C51" s="4">
        <v>85</v>
      </c>
      <c r="D51" s="4" t="s">
        <v>71</v>
      </c>
    </row>
    <row r="52" spans="1:4" ht="14.25" customHeight="1">
      <c r="A52" s="4">
        <v>51</v>
      </c>
      <c r="B52" s="4">
        <v>1</v>
      </c>
      <c r="C52" s="4">
        <v>77</v>
      </c>
      <c r="D52" s="4" t="s">
        <v>72</v>
      </c>
    </row>
    <row r="53" spans="1:4" ht="14.25" customHeight="1">
      <c r="A53" s="4">
        <v>52</v>
      </c>
      <c r="B53" s="4">
        <v>0</v>
      </c>
      <c r="C53" s="4">
        <v>85</v>
      </c>
      <c r="D53" s="4" t="s">
        <v>73</v>
      </c>
    </row>
    <row r="54" spans="1:4" ht="14.25" customHeight="1">
      <c r="A54" s="4">
        <v>53</v>
      </c>
      <c r="B54" s="4">
        <v>0</v>
      </c>
      <c r="C54" s="4">
        <v>85</v>
      </c>
      <c r="D54" s="4" t="s">
        <v>74</v>
      </c>
    </row>
    <row r="55" spans="1:4" ht="14.25" customHeight="1">
      <c r="A55" s="4">
        <v>54</v>
      </c>
      <c r="B55" s="4">
        <v>0</v>
      </c>
      <c r="C55" s="4">
        <v>60</v>
      </c>
      <c r="D55" s="4" t="s">
        <v>69</v>
      </c>
    </row>
    <row r="56" spans="1:4" ht="14.25" customHeight="1">
      <c r="A56" s="4">
        <v>55</v>
      </c>
      <c r="B56" s="4">
        <v>1</v>
      </c>
      <c r="C56" s="4">
        <v>99</v>
      </c>
      <c r="D56" s="4" t="s">
        <v>75</v>
      </c>
    </row>
    <row r="57" spans="1:4" ht="14.25" customHeight="1">
      <c r="A57" s="4">
        <v>56</v>
      </c>
      <c r="B57" s="4">
        <v>0</v>
      </c>
      <c r="C57" s="4">
        <v>85</v>
      </c>
      <c r="D57" s="4" t="s">
        <v>76</v>
      </c>
    </row>
    <row r="58" spans="1:4" ht="14.25" customHeight="1">
      <c r="A58" s="4">
        <v>57</v>
      </c>
      <c r="B58" s="4">
        <v>1</v>
      </c>
      <c r="C58" s="4">
        <v>76</v>
      </c>
      <c r="D58" s="4" t="s">
        <v>77</v>
      </c>
    </row>
    <row r="59" spans="1:4" ht="14.25" customHeight="1">
      <c r="A59" s="4">
        <v>58</v>
      </c>
      <c r="B59" s="4">
        <v>1</v>
      </c>
      <c r="C59" s="4">
        <v>81</v>
      </c>
      <c r="D59" s="4" t="s">
        <v>78</v>
      </c>
    </row>
    <row r="60" spans="1:4" ht="14.25" customHeight="1">
      <c r="A60" s="4">
        <v>59</v>
      </c>
      <c r="B60" s="4">
        <v>1</v>
      </c>
      <c r="C60" s="4">
        <v>85</v>
      </c>
      <c r="D60" s="4" t="s">
        <v>79</v>
      </c>
    </row>
    <row r="61" spans="1:4" ht="14.25" customHeight="1">
      <c r="A61" s="4">
        <v>60</v>
      </c>
      <c r="B61" s="4">
        <v>1</v>
      </c>
      <c r="C61" s="4">
        <v>85</v>
      </c>
      <c r="D61" s="4" t="s">
        <v>80</v>
      </c>
    </row>
    <row r="62" spans="1:4" ht="14.25" customHeight="1">
      <c r="A62" s="4">
        <v>61</v>
      </c>
      <c r="B62" s="4">
        <v>1</v>
      </c>
      <c r="C62" s="4">
        <v>85</v>
      </c>
      <c r="D62" s="4" t="s">
        <v>81</v>
      </c>
    </row>
    <row r="63" spans="1:4" ht="14.25" customHeight="1">
      <c r="A63" s="4">
        <v>62</v>
      </c>
      <c r="B63" s="4">
        <v>0</v>
      </c>
      <c r="C63" s="4">
        <v>85</v>
      </c>
      <c r="D63" s="4" t="s">
        <v>28</v>
      </c>
    </row>
    <row r="64" spans="1:4" ht="14.25" customHeight="1">
      <c r="A64" s="4">
        <v>63</v>
      </c>
      <c r="B64" s="4">
        <v>1</v>
      </c>
      <c r="C64" s="4">
        <v>85</v>
      </c>
      <c r="D64" s="4" t="s">
        <v>82</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000"/>
  <sheetViews>
    <sheetView workbookViewId="0">
      <selection activeCell="D64" sqref="D64"/>
    </sheetView>
  </sheetViews>
  <sheetFormatPr defaultColWidth="12.6640625" defaultRowHeight="15" customHeight="1"/>
  <cols>
    <col min="1" max="26" width="8.6640625" customWidth="1"/>
  </cols>
  <sheetData>
    <row r="1" spans="1:6" ht="14.25" customHeight="1">
      <c r="A1" s="6" t="s">
        <v>0</v>
      </c>
      <c r="B1" s="6" t="s">
        <v>19</v>
      </c>
      <c r="C1" s="6" t="s">
        <v>20</v>
      </c>
      <c r="D1" s="6" t="s">
        <v>21</v>
      </c>
      <c r="E1" s="6"/>
      <c r="F1" s="6"/>
    </row>
    <row r="2" spans="1:6" ht="14.25" customHeight="1">
      <c r="A2" s="3">
        <v>1</v>
      </c>
      <c r="B2" s="3">
        <v>1</v>
      </c>
      <c r="C2" s="3">
        <v>92</v>
      </c>
      <c r="D2" s="3" t="s">
        <v>83</v>
      </c>
      <c r="E2" s="1"/>
      <c r="F2" s="3"/>
    </row>
    <row r="3" spans="1:6" ht="14.25" customHeight="1">
      <c r="A3" s="3">
        <v>2</v>
      </c>
      <c r="B3" s="3">
        <v>0</v>
      </c>
      <c r="C3" s="3">
        <v>80</v>
      </c>
      <c r="D3" s="3" t="s">
        <v>84</v>
      </c>
      <c r="E3" s="1"/>
      <c r="F3" s="3"/>
    </row>
    <row r="4" spans="1:6" ht="14.25" customHeight="1">
      <c r="A4" s="3">
        <v>3</v>
      </c>
      <c r="B4" s="3">
        <v>1</v>
      </c>
      <c r="C4" s="3">
        <v>98</v>
      </c>
      <c r="D4" s="3" t="s">
        <v>85</v>
      </c>
      <c r="E4" s="1"/>
      <c r="F4" s="3"/>
    </row>
    <row r="5" spans="1:6" ht="14.25" customHeight="1">
      <c r="A5" s="3">
        <v>4</v>
      </c>
      <c r="B5" s="3">
        <v>0</v>
      </c>
      <c r="C5" s="3">
        <v>95</v>
      </c>
      <c r="D5" s="3" t="s">
        <v>86</v>
      </c>
      <c r="E5" s="1"/>
      <c r="F5" s="3"/>
    </row>
    <row r="6" spans="1:6" ht="14.25" customHeight="1">
      <c r="A6" s="3">
        <v>5</v>
      </c>
      <c r="B6" s="3">
        <v>1</v>
      </c>
      <c r="C6" s="3">
        <v>98</v>
      </c>
      <c r="D6" s="3" t="s">
        <v>85</v>
      </c>
      <c r="E6" s="1"/>
      <c r="F6" s="3"/>
    </row>
    <row r="7" spans="1:6" ht="14.25" customHeight="1">
      <c r="A7" s="3">
        <v>6</v>
      </c>
      <c r="B7" s="3">
        <v>1</v>
      </c>
      <c r="C7" s="3">
        <v>92</v>
      </c>
      <c r="D7" s="3" t="s">
        <v>87</v>
      </c>
      <c r="E7" s="1"/>
      <c r="F7" s="3"/>
    </row>
    <row r="8" spans="1:6" ht="14.25" customHeight="1">
      <c r="A8" s="3">
        <v>7</v>
      </c>
      <c r="B8" s="3">
        <v>0</v>
      </c>
      <c r="C8" s="3">
        <v>95</v>
      </c>
      <c r="D8" s="3" t="s">
        <v>86</v>
      </c>
      <c r="E8" s="1"/>
      <c r="F8" s="3"/>
    </row>
    <row r="9" spans="1:6" ht="14.25" customHeight="1">
      <c r="A9" s="3">
        <v>8</v>
      </c>
      <c r="B9" s="3">
        <v>0</v>
      </c>
      <c r="C9" s="3">
        <v>80</v>
      </c>
      <c r="D9" s="3" t="s">
        <v>88</v>
      </c>
      <c r="E9" s="1"/>
      <c r="F9" s="3"/>
    </row>
    <row r="10" spans="1:6" ht="14.25" customHeight="1">
      <c r="A10" s="3">
        <v>9</v>
      </c>
      <c r="B10" s="3">
        <v>1</v>
      </c>
      <c r="C10" s="3">
        <v>92</v>
      </c>
      <c r="D10" s="3" t="s">
        <v>89</v>
      </c>
      <c r="E10" s="1"/>
      <c r="F10" s="3"/>
    </row>
    <row r="11" spans="1:6" ht="14.25" customHeight="1">
      <c r="A11" s="3">
        <v>10</v>
      </c>
      <c r="B11" s="3">
        <v>1</v>
      </c>
      <c r="C11" s="3">
        <v>75</v>
      </c>
      <c r="D11" s="3" t="s">
        <v>90</v>
      </c>
      <c r="E11" s="1"/>
      <c r="F11" s="3"/>
    </row>
    <row r="12" spans="1:6" ht="14.25" customHeight="1">
      <c r="A12" s="3">
        <v>11</v>
      </c>
      <c r="B12" s="3">
        <v>1</v>
      </c>
      <c r="C12" s="3">
        <v>75</v>
      </c>
      <c r="D12" s="3" t="s">
        <v>91</v>
      </c>
      <c r="E12" s="1"/>
      <c r="F12" s="3"/>
    </row>
    <row r="13" spans="1:6" ht="14.25" customHeight="1">
      <c r="A13" s="3">
        <v>12</v>
      </c>
      <c r="B13" s="3">
        <v>0</v>
      </c>
      <c r="C13" s="3">
        <v>80</v>
      </c>
      <c r="D13" s="3" t="s">
        <v>92</v>
      </c>
      <c r="E13" s="1"/>
      <c r="F13" s="3"/>
    </row>
    <row r="14" spans="1:6" ht="14.25" customHeight="1">
      <c r="A14" s="3">
        <v>13</v>
      </c>
      <c r="B14" s="3">
        <v>1</v>
      </c>
      <c r="C14" s="3">
        <v>98</v>
      </c>
      <c r="D14" s="3" t="s">
        <v>85</v>
      </c>
      <c r="E14" s="1"/>
      <c r="F14" s="3"/>
    </row>
    <row r="15" spans="1:6" ht="14.25" customHeight="1">
      <c r="A15" s="3">
        <v>14</v>
      </c>
      <c r="B15" s="3">
        <v>1</v>
      </c>
      <c r="C15" s="3">
        <v>75</v>
      </c>
      <c r="D15" s="3" t="s">
        <v>93</v>
      </c>
      <c r="E15" s="1"/>
      <c r="F15" s="3"/>
    </row>
    <row r="16" spans="1:6" ht="14.25" customHeight="1">
      <c r="A16" s="3">
        <v>15</v>
      </c>
      <c r="B16" s="3">
        <v>0</v>
      </c>
      <c r="C16" s="3">
        <v>88</v>
      </c>
      <c r="D16" s="3" t="s">
        <v>94</v>
      </c>
      <c r="E16" s="1"/>
      <c r="F16" s="3"/>
    </row>
    <row r="17" spans="1:6" ht="14.25" customHeight="1">
      <c r="A17" s="3">
        <v>16</v>
      </c>
      <c r="B17" s="3">
        <v>1</v>
      </c>
      <c r="C17" s="3">
        <v>85</v>
      </c>
      <c r="D17" s="3" t="s">
        <v>95</v>
      </c>
      <c r="E17" s="1"/>
      <c r="F17" s="3"/>
    </row>
    <row r="18" spans="1:6" ht="14.25" customHeight="1">
      <c r="A18" s="3">
        <v>17</v>
      </c>
      <c r="B18" s="3">
        <v>0</v>
      </c>
      <c r="C18" s="3">
        <v>88</v>
      </c>
      <c r="D18" s="3" t="s">
        <v>94</v>
      </c>
      <c r="E18" s="1"/>
      <c r="F18" s="3"/>
    </row>
    <row r="19" spans="1:6" ht="14.25" customHeight="1">
      <c r="A19" s="3">
        <v>18</v>
      </c>
      <c r="B19" s="3">
        <v>1</v>
      </c>
      <c r="C19" s="3">
        <v>92</v>
      </c>
      <c r="D19" s="3" t="s">
        <v>96</v>
      </c>
      <c r="E19" s="1"/>
      <c r="F19" s="3"/>
    </row>
    <row r="20" spans="1:6" ht="14.25" customHeight="1">
      <c r="A20" s="3">
        <v>19</v>
      </c>
      <c r="B20" s="3">
        <v>1</v>
      </c>
      <c r="C20" s="3">
        <v>98</v>
      </c>
      <c r="D20" s="3" t="s">
        <v>85</v>
      </c>
      <c r="E20" s="1"/>
      <c r="F20" s="3"/>
    </row>
    <row r="21" spans="1:6" ht="14.25" customHeight="1">
      <c r="A21" s="3">
        <v>20</v>
      </c>
      <c r="B21" s="3">
        <v>1</v>
      </c>
      <c r="C21" s="3">
        <v>92</v>
      </c>
      <c r="D21" s="3" t="s">
        <v>97</v>
      </c>
      <c r="E21" s="1"/>
      <c r="F21" s="3"/>
    </row>
    <row r="22" spans="1:6" ht="14.25" customHeight="1">
      <c r="A22" s="3">
        <v>21</v>
      </c>
      <c r="B22" s="3">
        <v>1</v>
      </c>
      <c r="C22" s="3">
        <v>75</v>
      </c>
      <c r="D22" s="3" t="s">
        <v>98</v>
      </c>
      <c r="E22" s="1"/>
      <c r="F22" s="3"/>
    </row>
    <row r="23" spans="1:6" ht="14.25" customHeight="1">
      <c r="A23" s="3">
        <v>22</v>
      </c>
      <c r="B23" s="3">
        <v>1</v>
      </c>
      <c r="C23" s="3">
        <v>85</v>
      </c>
      <c r="D23" s="3" t="s">
        <v>99</v>
      </c>
      <c r="E23" s="1"/>
      <c r="F23" s="3"/>
    </row>
    <row r="24" spans="1:6" ht="14.25" customHeight="1">
      <c r="A24" s="3">
        <v>23</v>
      </c>
      <c r="B24" s="3">
        <v>1</v>
      </c>
      <c r="C24" s="3">
        <v>85</v>
      </c>
      <c r="D24" s="3" t="s">
        <v>100</v>
      </c>
      <c r="E24" s="1"/>
      <c r="F24" s="3"/>
    </row>
    <row r="25" spans="1:6" ht="14.25" customHeight="1">
      <c r="A25" s="3">
        <v>24</v>
      </c>
      <c r="B25" s="3">
        <v>1</v>
      </c>
      <c r="C25" s="3">
        <v>92</v>
      </c>
      <c r="D25" s="3" t="s">
        <v>101</v>
      </c>
      <c r="E25" s="1"/>
      <c r="F25" s="3"/>
    </row>
    <row r="26" spans="1:6" ht="14.25" customHeight="1">
      <c r="A26" s="3">
        <v>25</v>
      </c>
      <c r="B26" s="3">
        <v>1</v>
      </c>
      <c r="C26" s="3">
        <v>98</v>
      </c>
      <c r="D26" s="3" t="s">
        <v>85</v>
      </c>
      <c r="E26" s="1"/>
      <c r="F26" s="3"/>
    </row>
    <row r="27" spans="1:6" ht="14.25" customHeight="1">
      <c r="A27" s="3">
        <v>26</v>
      </c>
      <c r="B27" s="3">
        <v>1</v>
      </c>
      <c r="C27" s="3">
        <v>92</v>
      </c>
      <c r="D27" s="3" t="s">
        <v>102</v>
      </c>
      <c r="E27" s="1"/>
      <c r="F27" s="3"/>
    </row>
    <row r="28" spans="1:6" ht="14.25" customHeight="1">
      <c r="A28" s="3">
        <v>27</v>
      </c>
      <c r="B28" s="3">
        <v>1</v>
      </c>
      <c r="C28" s="3">
        <v>92</v>
      </c>
      <c r="D28" s="3" t="s">
        <v>103</v>
      </c>
      <c r="E28" s="1"/>
      <c r="F28" s="3"/>
    </row>
    <row r="29" spans="1:6" ht="14.25" customHeight="1">
      <c r="A29" s="3">
        <v>28</v>
      </c>
      <c r="B29" s="3">
        <v>1</v>
      </c>
      <c r="C29" s="3">
        <v>85</v>
      </c>
      <c r="D29" s="3" t="s">
        <v>104</v>
      </c>
      <c r="E29" s="1"/>
      <c r="F29" s="3"/>
    </row>
    <row r="30" spans="1:6" ht="14.25" customHeight="1">
      <c r="A30" s="3">
        <v>29</v>
      </c>
      <c r="B30" s="3">
        <v>1</v>
      </c>
      <c r="C30" s="3">
        <v>85</v>
      </c>
      <c r="D30" s="3" t="s">
        <v>105</v>
      </c>
      <c r="E30" s="1"/>
      <c r="F30" s="3"/>
    </row>
    <row r="31" spans="1:6" ht="14.25" customHeight="1">
      <c r="A31" s="3">
        <v>30</v>
      </c>
      <c r="B31" s="3">
        <v>0</v>
      </c>
      <c r="C31" s="3">
        <v>80</v>
      </c>
      <c r="D31" s="3" t="s">
        <v>106</v>
      </c>
      <c r="E31" s="1"/>
      <c r="F31" s="3"/>
    </row>
    <row r="32" spans="1:6" ht="14.25" customHeight="1">
      <c r="A32" s="4">
        <v>31</v>
      </c>
      <c r="B32" s="4">
        <v>1</v>
      </c>
      <c r="C32" s="4">
        <v>98</v>
      </c>
      <c r="D32" s="4" t="s">
        <v>85</v>
      </c>
    </row>
    <row r="33" spans="1:4" ht="14.25" customHeight="1">
      <c r="A33" s="4">
        <v>32</v>
      </c>
      <c r="B33" s="4">
        <v>0</v>
      </c>
      <c r="C33" s="4">
        <v>95</v>
      </c>
      <c r="D33" s="4" t="s">
        <v>86</v>
      </c>
    </row>
    <row r="34" spans="1:4" ht="14.25" customHeight="1">
      <c r="A34" s="4">
        <v>33</v>
      </c>
      <c r="B34" s="4">
        <v>0</v>
      </c>
      <c r="C34" s="4">
        <v>95</v>
      </c>
      <c r="D34" s="4" t="s">
        <v>86</v>
      </c>
    </row>
    <row r="35" spans="1:4" ht="14.25" customHeight="1">
      <c r="A35" s="4">
        <v>34</v>
      </c>
      <c r="B35" s="4">
        <v>0</v>
      </c>
      <c r="C35" s="4">
        <v>80</v>
      </c>
      <c r="D35" s="4" t="s">
        <v>107</v>
      </c>
    </row>
    <row r="36" spans="1:4" ht="14.25" customHeight="1">
      <c r="A36" s="4">
        <v>35</v>
      </c>
      <c r="B36" s="4">
        <v>0</v>
      </c>
      <c r="C36" s="4">
        <v>95</v>
      </c>
      <c r="D36" s="4" t="s">
        <v>86</v>
      </c>
    </row>
    <row r="37" spans="1:4" ht="14.25" customHeight="1">
      <c r="A37" s="4">
        <v>36</v>
      </c>
      <c r="B37" s="4">
        <v>0</v>
      </c>
      <c r="C37" s="4">
        <v>88</v>
      </c>
      <c r="D37" s="4" t="s">
        <v>94</v>
      </c>
    </row>
    <row r="38" spans="1:4" ht="14.25" customHeight="1">
      <c r="A38" s="4">
        <v>37</v>
      </c>
      <c r="B38" s="4">
        <v>1</v>
      </c>
      <c r="C38" s="4">
        <v>92</v>
      </c>
      <c r="D38" s="4" t="s">
        <v>108</v>
      </c>
    </row>
    <row r="39" spans="1:4" ht="14.25" customHeight="1">
      <c r="A39" s="4">
        <v>38</v>
      </c>
      <c r="B39" s="4">
        <v>0</v>
      </c>
      <c r="C39" s="4">
        <v>95</v>
      </c>
      <c r="D39" s="4" t="s">
        <v>86</v>
      </c>
    </row>
    <row r="40" spans="1:4" ht="14.25" customHeight="1">
      <c r="A40" s="4">
        <v>39</v>
      </c>
      <c r="B40" s="4">
        <v>1</v>
      </c>
      <c r="C40" s="4">
        <v>98</v>
      </c>
      <c r="D40" s="4" t="s">
        <v>85</v>
      </c>
    </row>
    <row r="41" spans="1:4" ht="14.25" customHeight="1">
      <c r="A41" s="4">
        <v>40</v>
      </c>
      <c r="B41" s="4">
        <v>1</v>
      </c>
      <c r="C41" s="4">
        <v>92</v>
      </c>
      <c r="D41" s="4" t="s">
        <v>109</v>
      </c>
    </row>
    <row r="42" spans="1:4" ht="14.25" customHeight="1">
      <c r="A42" s="4">
        <v>41</v>
      </c>
      <c r="B42" s="4">
        <v>1</v>
      </c>
      <c r="C42" s="4">
        <v>85</v>
      </c>
      <c r="D42" s="4" t="s">
        <v>110</v>
      </c>
    </row>
    <row r="43" spans="1:4" ht="14.25" customHeight="1">
      <c r="A43" s="4">
        <v>42</v>
      </c>
      <c r="B43" s="4">
        <v>0</v>
      </c>
      <c r="C43" s="4">
        <v>88</v>
      </c>
      <c r="D43" s="4" t="s">
        <v>94</v>
      </c>
    </row>
    <row r="44" spans="1:4" ht="14.25" customHeight="1">
      <c r="A44" s="4">
        <v>43</v>
      </c>
      <c r="B44" s="4">
        <v>0</v>
      </c>
      <c r="C44" s="4">
        <v>88</v>
      </c>
      <c r="D44" s="4" t="s">
        <v>94</v>
      </c>
    </row>
    <row r="45" spans="1:4" ht="14.25" customHeight="1">
      <c r="A45" s="4">
        <v>44</v>
      </c>
      <c r="B45" s="4">
        <v>0</v>
      </c>
      <c r="C45" s="4">
        <v>80</v>
      </c>
      <c r="D45" s="4" t="s">
        <v>92</v>
      </c>
    </row>
    <row r="46" spans="1:4" ht="14.25" customHeight="1">
      <c r="A46" s="4">
        <v>45</v>
      </c>
      <c r="B46" s="4">
        <v>1</v>
      </c>
      <c r="C46" s="4">
        <v>75</v>
      </c>
      <c r="D46" s="4" t="s">
        <v>111</v>
      </c>
    </row>
    <row r="47" spans="1:4" ht="14.25" customHeight="1">
      <c r="A47" s="4">
        <v>46</v>
      </c>
      <c r="B47" s="4">
        <v>0</v>
      </c>
      <c r="C47" s="4">
        <v>95</v>
      </c>
      <c r="D47" s="4" t="s">
        <v>86</v>
      </c>
    </row>
    <row r="48" spans="1:4" ht="14.25" customHeight="1">
      <c r="A48" s="4">
        <v>47</v>
      </c>
      <c r="B48" s="4">
        <v>1</v>
      </c>
      <c r="C48" s="4">
        <v>98</v>
      </c>
      <c r="D48" s="4" t="s">
        <v>85</v>
      </c>
    </row>
    <row r="49" spans="1:4" ht="14.25" customHeight="1">
      <c r="A49" s="4">
        <v>48</v>
      </c>
      <c r="B49" s="4">
        <v>0</v>
      </c>
      <c r="C49" s="4">
        <v>80</v>
      </c>
      <c r="D49" s="4" t="s">
        <v>84</v>
      </c>
    </row>
    <row r="50" spans="1:4" ht="14.25" customHeight="1">
      <c r="A50" s="4">
        <v>49</v>
      </c>
      <c r="B50" s="4">
        <v>1</v>
      </c>
      <c r="C50" s="4">
        <v>98</v>
      </c>
      <c r="D50" s="4" t="s">
        <v>85</v>
      </c>
    </row>
    <row r="51" spans="1:4" ht="14.25" customHeight="1">
      <c r="A51" s="4">
        <v>50</v>
      </c>
      <c r="B51" s="4">
        <v>1</v>
      </c>
      <c r="C51" s="4">
        <v>85</v>
      </c>
      <c r="D51" s="4" t="s">
        <v>112</v>
      </c>
    </row>
    <row r="52" spans="1:4" ht="14.25" customHeight="1">
      <c r="A52" s="4">
        <v>51</v>
      </c>
      <c r="B52" s="4">
        <v>1</v>
      </c>
      <c r="C52" s="4">
        <v>92</v>
      </c>
      <c r="D52" s="4" t="s">
        <v>113</v>
      </c>
    </row>
    <row r="53" spans="1:4" ht="14.25" customHeight="1">
      <c r="A53" s="4">
        <v>52</v>
      </c>
      <c r="B53" s="4">
        <v>0</v>
      </c>
      <c r="C53" s="4">
        <v>95</v>
      </c>
      <c r="D53" s="4" t="s">
        <v>86</v>
      </c>
    </row>
    <row r="54" spans="1:4" ht="14.25" customHeight="1">
      <c r="A54" s="4">
        <v>53</v>
      </c>
      <c r="B54" s="4">
        <v>0</v>
      </c>
      <c r="C54" s="4">
        <v>95</v>
      </c>
      <c r="D54" s="4" t="s">
        <v>86</v>
      </c>
    </row>
    <row r="55" spans="1:4" ht="14.25" customHeight="1">
      <c r="A55" s="4">
        <v>54</v>
      </c>
      <c r="B55" s="4">
        <v>0</v>
      </c>
      <c r="C55" s="4">
        <v>80</v>
      </c>
      <c r="D55" s="4" t="s">
        <v>84</v>
      </c>
    </row>
    <row r="56" spans="1:4" ht="14.25" customHeight="1">
      <c r="A56" s="4">
        <v>55</v>
      </c>
      <c r="B56" s="4">
        <v>1</v>
      </c>
      <c r="C56" s="4">
        <v>98</v>
      </c>
      <c r="D56" s="4" t="s">
        <v>85</v>
      </c>
    </row>
    <row r="57" spans="1:4" ht="14.25" customHeight="1">
      <c r="A57" s="4">
        <v>56</v>
      </c>
      <c r="B57" s="4">
        <v>0</v>
      </c>
      <c r="C57" s="4">
        <v>95</v>
      </c>
      <c r="D57" s="4" t="s">
        <v>86</v>
      </c>
    </row>
    <row r="58" spans="1:4" ht="14.25" customHeight="1">
      <c r="A58" s="4">
        <v>57</v>
      </c>
      <c r="B58" s="4">
        <v>1</v>
      </c>
      <c r="C58" s="4">
        <v>92</v>
      </c>
      <c r="D58" s="4" t="s">
        <v>114</v>
      </c>
    </row>
    <row r="59" spans="1:4" ht="14.25" customHeight="1">
      <c r="A59" s="4">
        <v>58</v>
      </c>
      <c r="B59" s="4">
        <v>1</v>
      </c>
      <c r="C59" s="4">
        <v>98</v>
      </c>
      <c r="D59" s="4" t="s">
        <v>85</v>
      </c>
    </row>
    <row r="60" spans="1:4" ht="14.25" customHeight="1">
      <c r="A60" s="4">
        <v>59</v>
      </c>
      <c r="B60" s="4">
        <v>1</v>
      </c>
      <c r="C60" s="4">
        <v>92</v>
      </c>
      <c r="D60" s="4" t="s">
        <v>115</v>
      </c>
    </row>
    <row r="61" spans="1:4" ht="14.25" customHeight="1">
      <c r="A61" s="4">
        <v>60</v>
      </c>
      <c r="B61" s="4">
        <v>1</v>
      </c>
      <c r="C61" s="4">
        <v>92</v>
      </c>
      <c r="D61" s="4" t="s">
        <v>116</v>
      </c>
    </row>
    <row r="62" spans="1:4" ht="14.25" customHeight="1">
      <c r="A62" s="4">
        <v>61</v>
      </c>
      <c r="B62" s="4">
        <v>1</v>
      </c>
      <c r="C62" s="4">
        <v>85</v>
      </c>
      <c r="D62" s="4" t="s">
        <v>117</v>
      </c>
    </row>
    <row r="63" spans="1:4" ht="14.25" customHeight="1">
      <c r="A63" s="4">
        <v>62</v>
      </c>
      <c r="B63" s="4">
        <v>0</v>
      </c>
      <c r="C63" s="4">
        <v>95</v>
      </c>
      <c r="D63" s="4" t="s">
        <v>86</v>
      </c>
    </row>
    <row r="64" spans="1:4" ht="14.25" customHeight="1">
      <c r="A64" s="4">
        <v>63</v>
      </c>
      <c r="B64" s="4">
        <v>1</v>
      </c>
      <c r="C64" s="4">
        <v>85</v>
      </c>
      <c r="D64" s="4" t="s">
        <v>118</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1000"/>
  <sheetViews>
    <sheetView workbookViewId="0"/>
  </sheetViews>
  <sheetFormatPr defaultColWidth="12.6640625" defaultRowHeight="15" customHeight="1"/>
  <cols>
    <col min="1" max="26" width="8.6640625" customWidth="1"/>
  </cols>
  <sheetData>
    <row r="1" spans="1:6" ht="14.25" customHeight="1">
      <c r="A1" s="6" t="s">
        <v>0</v>
      </c>
      <c r="B1" s="6" t="s">
        <v>19</v>
      </c>
      <c r="C1" s="6" t="s">
        <v>20</v>
      </c>
      <c r="D1" s="6" t="s">
        <v>21</v>
      </c>
      <c r="E1" s="6"/>
      <c r="F1" s="6"/>
    </row>
    <row r="2" spans="1:6" ht="14.25" customHeight="1">
      <c r="A2" s="3">
        <v>1</v>
      </c>
      <c r="B2" s="3">
        <v>1</v>
      </c>
      <c r="C2" s="3">
        <v>80</v>
      </c>
      <c r="D2" s="3" t="s">
        <v>119</v>
      </c>
      <c r="E2" s="3"/>
      <c r="F2" s="3"/>
    </row>
    <row r="3" spans="1:6" ht="14.25" customHeight="1">
      <c r="A3" s="3">
        <v>2</v>
      </c>
      <c r="B3" s="3">
        <v>0</v>
      </c>
      <c r="C3" s="3">
        <v>60</v>
      </c>
      <c r="D3" s="3" t="s">
        <v>120</v>
      </c>
      <c r="E3" s="3"/>
      <c r="F3" s="3"/>
    </row>
    <row r="4" spans="1:6" ht="14.25" customHeight="1">
      <c r="A4" s="3">
        <v>3</v>
      </c>
      <c r="B4" s="3">
        <v>1</v>
      </c>
      <c r="C4" s="3">
        <v>95</v>
      </c>
      <c r="D4" s="3" t="s">
        <v>121</v>
      </c>
      <c r="E4" s="3"/>
      <c r="F4" s="3"/>
    </row>
    <row r="5" spans="1:6" ht="14.25" customHeight="1">
      <c r="A5" s="3">
        <v>4</v>
      </c>
      <c r="B5" s="3">
        <v>0</v>
      </c>
      <c r="C5" s="3">
        <v>60</v>
      </c>
      <c r="D5" s="3" t="s">
        <v>122</v>
      </c>
      <c r="E5" s="3"/>
      <c r="F5" s="3"/>
    </row>
    <row r="6" spans="1:6" ht="14.25" customHeight="1">
      <c r="A6" s="3">
        <v>5</v>
      </c>
      <c r="B6" s="3">
        <v>1</v>
      </c>
      <c r="C6" s="3">
        <v>95</v>
      </c>
      <c r="D6" s="3" t="s">
        <v>123</v>
      </c>
      <c r="E6" s="3"/>
      <c r="F6" s="3"/>
    </row>
    <row r="7" spans="1:6" ht="14.25" customHeight="1">
      <c r="A7" s="3">
        <v>6</v>
      </c>
      <c r="B7" s="3">
        <v>1</v>
      </c>
      <c r="C7" s="3">
        <v>95</v>
      </c>
      <c r="D7" s="3" t="s">
        <v>124</v>
      </c>
      <c r="E7" s="3"/>
      <c r="F7" s="3"/>
    </row>
    <row r="8" spans="1:6" ht="14.25" customHeight="1">
      <c r="A8" s="3">
        <v>7</v>
      </c>
      <c r="B8" s="3">
        <v>0</v>
      </c>
      <c r="C8" s="3">
        <v>60</v>
      </c>
      <c r="D8" s="3" t="s">
        <v>125</v>
      </c>
      <c r="E8" s="3"/>
      <c r="F8" s="3"/>
    </row>
    <row r="9" spans="1:6" ht="14.25" customHeight="1">
      <c r="A9" s="3">
        <v>8</v>
      </c>
      <c r="B9" s="3">
        <v>0</v>
      </c>
      <c r="C9" s="3">
        <v>60</v>
      </c>
      <c r="D9" s="3" t="s">
        <v>126</v>
      </c>
      <c r="E9" s="3"/>
      <c r="F9" s="3"/>
    </row>
    <row r="10" spans="1:6" ht="14.25" customHeight="1">
      <c r="A10" s="3">
        <v>9</v>
      </c>
      <c r="B10" s="3">
        <v>1</v>
      </c>
      <c r="C10" s="3">
        <v>80</v>
      </c>
      <c r="D10" s="3" t="s">
        <v>127</v>
      </c>
      <c r="E10" s="3"/>
      <c r="F10" s="3"/>
    </row>
    <row r="11" spans="1:6" ht="14.25" customHeight="1">
      <c r="A11" s="3">
        <v>10</v>
      </c>
      <c r="B11" s="3">
        <v>1</v>
      </c>
      <c r="C11" s="3">
        <v>70</v>
      </c>
      <c r="D11" s="3" t="s">
        <v>128</v>
      </c>
      <c r="E11" s="3"/>
      <c r="F11" s="3"/>
    </row>
    <row r="12" spans="1:6" ht="14.25" customHeight="1">
      <c r="A12" s="3">
        <v>11</v>
      </c>
      <c r="B12" s="3">
        <v>1</v>
      </c>
      <c r="C12" s="3">
        <v>70</v>
      </c>
      <c r="D12" s="3" t="s">
        <v>129</v>
      </c>
      <c r="E12" s="3"/>
      <c r="F12" s="3"/>
    </row>
    <row r="13" spans="1:6" ht="14.25" customHeight="1">
      <c r="A13" s="3">
        <v>12</v>
      </c>
      <c r="B13" s="3">
        <v>0</v>
      </c>
      <c r="C13" s="3">
        <v>60</v>
      </c>
      <c r="D13" s="3" t="s">
        <v>130</v>
      </c>
      <c r="E13" s="3"/>
      <c r="F13" s="3"/>
    </row>
    <row r="14" spans="1:6" ht="14.25" customHeight="1">
      <c r="A14" s="3">
        <v>13</v>
      </c>
      <c r="B14" s="3">
        <v>1</v>
      </c>
      <c r="C14" s="3">
        <v>95</v>
      </c>
      <c r="D14" s="3" t="s">
        <v>131</v>
      </c>
      <c r="E14" s="3"/>
      <c r="F14" s="3"/>
    </row>
    <row r="15" spans="1:6" ht="14.25" customHeight="1">
      <c r="A15" s="3">
        <v>14</v>
      </c>
      <c r="B15" s="3">
        <v>1</v>
      </c>
      <c r="C15" s="3">
        <v>70</v>
      </c>
      <c r="D15" s="3" t="s">
        <v>132</v>
      </c>
      <c r="E15" s="3"/>
      <c r="F15" s="3"/>
    </row>
    <row r="16" spans="1:6" ht="14.25" customHeight="1">
      <c r="A16" s="3">
        <v>15</v>
      </c>
      <c r="B16" s="3">
        <v>0</v>
      </c>
      <c r="C16" s="3">
        <v>60</v>
      </c>
      <c r="D16" s="3" t="s">
        <v>133</v>
      </c>
      <c r="E16" s="3"/>
      <c r="F16" s="3"/>
    </row>
    <row r="17" spans="1:6" ht="14.25" customHeight="1">
      <c r="A17" s="3">
        <v>16</v>
      </c>
      <c r="B17" s="3">
        <v>1</v>
      </c>
      <c r="C17" s="3">
        <v>80</v>
      </c>
      <c r="D17" s="3" t="s">
        <v>134</v>
      </c>
      <c r="E17" s="3"/>
      <c r="F17" s="3"/>
    </row>
    <row r="18" spans="1:6" ht="14.25" customHeight="1">
      <c r="A18" s="3">
        <v>17</v>
      </c>
      <c r="B18" s="3">
        <v>0</v>
      </c>
      <c r="C18" s="3">
        <v>60</v>
      </c>
      <c r="D18" s="3" t="s">
        <v>135</v>
      </c>
      <c r="E18" s="3"/>
      <c r="F18" s="3"/>
    </row>
    <row r="19" spans="1:6" ht="14.25" customHeight="1">
      <c r="A19" s="3">
        <v>18</v>
      </c>
      <c r="B19" s="3">
        <v>1</v>
      </c>
      <c r="C19" s="3">
        <v>95</v>
      </c>
      <c r="D19" s="3" t="s">
        <v>136</v>
      </c>
      <c r="E19" s="3"/>
      <c r="F19" s="3"/>
    </row>
    <row r="20" spans="1:6" ht="14.25" customHeight="1">
      <c r="A20" s="3">
        <v>19</v>
      </c>
      <c r="B20" s="3">
        <v>1</v>
      </c>
      <c r="C20" s="3">
        <v>95</v>
      </c>
      <c r="D20" s="3" t="s">
        <v>137</v>
      </c>
      <c r="E20" s="3"/>
      <c r="F20" s="3"/>
    </row>
    <row r="21" spans="1:6" ht="14.25" customHeight="1">
      <c r="A21" s="3">
        <v>20</v>
      </c>
      <c r="B21" s="3">
        <v>1</v>
      </c>
      <c r="C21" s="3">
        <v>80</v>
      </c>
      <c r="D21" s="3" t="s">
        <v>138</v>
      </c>
      <c r="E21" s="3"/>
      <c r="F21" s="3"/>
    </row>
    <row r="22" spans="1:6" ht="14.25" customHeight="1">
      <c r="A22" s="3">
        <v>21</v>
      </c>
      <c r="B22" s="3">
        <v>1</v>
      </c>
      <c r="C22" s="3">
        <v>70</v>
      </c>
      <c r="D22" s="3" t="s">
        <v>139</v>
      </c>
      <c r="E22" s="3"/>
      <c r="F22" s="3"/>
    </row>
    <row r="23" spans="1:6" ht="14.25" customHeight="1">
      <c r="A23" s="3">
        <v>22</v>
      </c>
      <c r="B23" s="3">
        <v>1</v>
      </c>
      <c r="C23" s="3">
        <v>80</v>
      </c>
      <c r="D23" s="3" t="s">
        <v>140</v>
      </c>
      <c r="E23" s="3"/>
      <c r="F23" s="3"/>
    </row>
    <row r="24" spans="1:6" ht="14.25" customHeight="1">
      <c r="A24" s="3">
        <v>23</v>
      </c>
      <c r="B24" s="3">
        <v>1</v>
      </c>
      <c r="C24" s="3">
        <v>80</v>
      </c>
      <c r="D24" s="3" t="s">
        <v>141</v>
      </c>
      <c r="E24" s="3"/>
      <c r="F24" s="3"/>
    </row>
    <row r="25" spans="1:6" ht="14.25" customHeight="1">
      <c r="A25" s="3">
        <v>24</v>
      </c>
      <c r="B25" s="3">
        <v>1</v>
      </c>
      <c r="C25" s="3">
        <v>80</v>
      </c>
      <c r="D25" s="3" t="s">
        <v>142</v>
      </c>
      <c r="E25" s="3"/>
      <c r="F25" s="3"/>
    </row>
    <row r="26" spans="1:6" ht="14.25" customHeight="1">
      <c r="A26" s="3">
        <v>25</v>
      </c>
      <c r="B26" s="3">
        <v>1</v>
      </c>
      <c r="C26" s="3">
        <v>95</v>
      </c>
      <c r="D26" s="3" t="s">
        <v>143</v>
      </c>
      <c r="E26" s="3"/>
      <c r="F26" s="3"/>
    </row>
    <row r="27" spans="1:6" ht="14.25" customHeight="1">
      <c r="A27" s="3">
        <v>26</v>
      </c>
      <c r="B27" s="3">
        <v>1</v>
      </c>
      <c r="C27" s="3">
        <v>95</v>
      </c>
      <c r="D27" s="3" t="s">
        <v>144</v>
      </c>
      <c r="E27" s="3"/>
      <c r="F27" s="3"/>
    </row>
    <row r="28" spans="1:6" ht="14.25" customHeight="1">
      <c r="A28" s="3">
        <v>27</v>
      </c>
      <c r="B28" s="3">
        <v>1</v>
      </c>
      <c r="C28" s="3">
        <v>95</v>
      </c>
      <c r="D28" s="3" t="s">
        <v>145</v>
      </c>
      <c r="E28" s="3"/>
      <c r="F28" s="3"/>
    </row>
    <row r="29" spans="1:6" ht="14.25" customHeight="1">
      <c r="A29" s="3">
        <v>28</v>
      </c>
      <c r="B29" s="3">
        <v>1</v>
      </c>
      <c r="C29" s="3">
        <v>80</v>
      </c>
      <c r="D29" s="3" t="s">
        <v>146</v>
      </c>
      <c r="E29" s="3"/>
      <c r="F29" s="3"/>
    </row>
    <row r="30" spans="1:6" ht="14.25" customHeight="1">
      <c r="A30" s="3">
        <v>29</v>
      </c>
      <c r="B30" s="3">
        <v>1</v>
      </c>
      <c r="C30" s="3">
        <v>80</v>
      </c>
      <c r="D30" s="3" t="s">
        <v>147</v>
      </c>
      <c r="E30" s="3"/>
      <c r="F30" s="3"/>
    </row>
    <row r="31" spans="1:6" ht="14.25" customHeight="1">
      <c r="A31" s="3">
        <v>30</v>
      </c>
      <c r="B31" s="3">
        <v>0</v>
      </c>
      <c r="C31" s="3">
        <v>60</v>
      </c>
      <c r="D31" s="3" t="s">
        <v>148</v>
      </c>
      <c r="E31" s="3"/>
      <c r="F31" s="3"/>
    </row>
    <row r="32" spans="1:6" ht="14.25" customHeight="1">
      <c r="A32" s="4">
        <v>31</v>
      </c>
      <c r="B32" s="4">
        <v>1</v>
      </c>
      <c r="C32" s="4">
        <v>95</v>
      </c>
      <c r="D32" s="4" t="s">
        <v>149</v>
      </c>
    </row>
    <row r="33" spans="1:4" ht="14.25" customHeight="1">
      <c r="A33" s="4">
        <v>32</v>
      </c>
      <c r="B33" s="4">
        <v>0</v>
      </c>
      <c r="C33" s="4">
        <v>60</v>
      </c>
      <c r="D33" s="4" t="s">
        <v>150</v>
      </c>
    </row>
    <row r="34" spans="1:4" ht="14.25" customHeight="1">
      <c r="A34" s="4">
        <v>33</v>
      </c>
      <c r="B34" s="4">
        <v>0</v>
      </c>
      <c r="C34" s="4">
        <v>60</v>
      </c>
      <c r="D34" s="4" t="s">
        <v>151</v>
      </c>
    </row>
    <row r="35" spans="1:4" ht="14.25" customHeight="1">
      <c r="A35" s="4">
        <v>34</v>
      </c>
      <c r="B35" s="4">
        <v>0</v>
      </c>
      <c r="C35" s="4">
        <v>60</v>
      </c>
      <c r="D35" s="4" t="s">
        <v>152</v>
      </c>
    </row>
    <row r="36" spans="1:4" ht="14.25" customHeight="1">
      <c r="A36" s="4">
        <v>35</v>
      </c>
      <c r="B36" s="4">
        <v>0</v>
      </c>
      <c r="C36" s="4">
        <v>60</v>
      </c>
      <c r="D36" s="4" t="s">
        <v>153</v>
      </c>
    </row>
    <row r="37" spans="1:4" ht="14.25" customHeight="1">
      <c r="A37" s="4">
        <v>36</v>
      </c>
      <c r="B37" s="4">
        <v>0</v>
      </c>
      <c r="C37" s="4">
        <v>60</v>
      </c>
      <c r="D37" s="4" t="s">
        <v>154</v>
      </c>
    </row>
    <row r="38" spans="1:4" ht="14.25" customHeight="1">
      <c r="A38" s="4">
        <v>37</v>
      </c>
      <c r="B38" s="4">
        <v>1</v>
      </c>
      <c r="C38" s="4">
        <v>95</v>
      </c>
      <c r="D38" s="4" t="s">
        <v>155</v>
      </c>
    </row>
    <row r="39" spans="1:4" ht="14.25" customHeight="1">
      <c r="A39" s="4">
        <v>38</v>
      </c>
      <c r="B39" s="4">
        <v>0</v>
      </c>
      <c r="C39" s="4">
        <v>60</v>
      </c>
      <c r="D39" s="4" t="s">
        <v>156</v>
      </c>
    </row>
    <row r="40" spans="1:4" ht="14.25" customHeight="1">
      <c r="A40" s="4">
        <v>39</v>
      </c>
      <c r="B40" s="4">
        <v>1</v>
      </c>
      <c r="C40" s="4">
        <v>95</v>
      </c>
      <c r="D40" s="4" t="s">
        <v>157</v>
      </c>
    </row>
    <row r="41" spans="1:4" ht="14.25" customHeight="1">
      <c r="A41" s="4">
        <v>40</v>
      </c>
      <c r="B41" s="4">
        <v>1</v>
      </c>
      <c r="C41" s="4">
        <v>80</v>
      </c>
      <c r="D41" s="4" t="s">
        <v>158</v>
      </c>
    </row>
    <row r="42" spans="1:4" ht="14.25" customHeight="1">
      <c r="A42" s="4">
        <v>41</v>
      </c>
      <c r="B42" s="4">
        <v>1</v>
      </c>
      <c r="C42" s="4">
        <v>80</v>
      </c>
      <c r="D42" s="4" t="s">
        <v>159</v>
      </c>
    </row>
    <row r="43" spans="1:4" ht="14.25" customHeight="1">
      <c r="A43" s="4">
        <v>42</v>
      </c>
      <c r="B43" s="4">
        <v>0</v>
      </c>
      <c r="C43" s="4">
        <v>60</v>
      </c>
      <c r="D43" s="4" t="s">
        <v>160</v>
      </c>
    </row>
    <row r="44" spans="1:4" ht="14.25" customHeight="1">
      <c r="A44" s="4">
        <v>43</v>
      </c>
      <c r="B44" s="4">
        <v>0</v>
      </c>
      <c r="C44" s="4">
        <v>60</v>
      </c>
      <c r="D44" s="4" t="s">
        <v>161</v>
      </c>
    </row>
    <row r="45" spans="1:4" ht="14.25" customHeight="1">
      <c r="A45" s="4">
        <v>44</v>
      </c>
      <c r="B45" s="4">
        <v>0</v>
      </c>
      <c r="C45" s="4">
        <v>60</v>
      </c>
      <c r="D45" s="4" t="s">
        <v>162</v>
      </c>
    </row>
    <row r="46" spans="1:4" ht="14.25" customHeight="1">
      <c r="A46" s="4">
        <v>45</v>
      </c>
      <c r="B46" s="4">
        <v>1</v>
      </c>
      <c r="C46" s="4">
        <v>70</v>
      </c>
      <c r="D46" s="4" t="s">
        <v>163</v>
      </c>
    </row>
    <row r="47" spans="1:4" ht="14.25" customHeight="1">
      <c r="A47" s="4">
        <v>46</v>
      </c>
      <c r="B47" s="4">
        <v>0</v>
      </c>
      <c r="C47" s="4">
        <v>60</v>
      </c>
      <c r="D47" s="4" t="s">
        <v>164</v>
      </c>
    </row>
    <row r="48" spans="1:4" ht="14.25" customHeight="1">
      <c r="A48" s="4">
        <v>47</v>
      </c>
      <c r="B48" s="4">
        <v>1</v>
      </c>
      <c r="C48" s="4">
        <v>95</v>
      </c>
      <c r="D48" s="4" t="s">
        <v>165</v>
      </c>
    </row>
    <row r="49" spans="1:4" ht="14.25" customHeight="1">
      <c r="A49" s="4">
        <v>48</v>
      </c>
      <c r="B49" s="4">
        <v>0</v>
      </c>
      <c r="C49" s="4">
        <v>60</v>
      </c>
      <c r="D49" s="4" t="s">
        <v>166</v>
      </c>
    </row>
    <row r="50" spans="1:4" ht="14.25" customHeight="1">
      <c r="A50" s="4">
        <v>49</v>
      </c>
      <c r="B50" s="4">
        <v>1</v>
      </c>
      <c r="C50" s="4">
        <v>95</v>
      </c>
      <c r="D50" s="4" t="s">
        <v>167</v>
      </c>
    </row>
    <row r="51" spans="1:4" ht="14.25" customHeight="1">
      <c r="A51" s="4">
        <v>50</v>
      </c>
      <c r="B51" s="4">
        <v>1</v>
      </c>
      <c r="C51" s="4">
        <v>80</v>
      </c>
      <c r="D51" s="4" t="s">
        <v>168</v>
      </c>
    </row>
    <row r="52" spans="1:4" ht="14.25" customHeight="1">
      <c r="A52" s="4">
        <v>51</v>
      </c>
      <c r="B52" s="4">
        <v>1</v>
      </c>
      <c r="C52" s="4">
        <v>95</v>
      </c>
      <c r="D52" s="4" t="s">
        <v>169</v>
      </c>
    </row>
    <row r="53" spans="1:4" ht="14.25" customHeight="1">
      <c r="A53" s="4">
        <v>52</v>
      </c>
      <c r="B53" s="4">
        <v>0</v>
      </c>
      <c r="C53" s="4">
        <v>60</v>
      </c>
      <c r="D53" s="4" t="s">
        <v>170</v>
      </c>
    </row>
    <row r="54" spans="1:4" ht="14.25" customHeight="1">
      <c r="A54" s="4">
        <v>53</v>
      </c>
      <c r="B54" s="4">
        <v>0</v>
      </c>
      <c r="C54" s="4">
        <v>60</v>
      </c>
      <c r="D54" s="4" t="s">
        <v>171</v>
      </c>
    </row>
    <row r="55" spans="1:4" ht="14.25" customHeight="1">
      <c r="A55" s="4">
        <v>54</v>
      </c>
      <c r="B55" s="4">
        <v>0</v>
      </c>
      <c r="C55" s="4">
        <v>60</v>
      </c>
      <c r="D55" s="4" t="s">
        <v>172</v>
      </c>
    </row>
    <row r="56" spans="1:4" ht="14.25" customHeight="1">
      <c r="A56" s="4">
        <v>55</v>
      </c>
      <c r="B56" s="4">
        <v>1</v>
      </c>
      <c r="C56" s="4">
        <v>95</v>
      </c>
      <c r="D56" s="4" t="s">
        <v>173</v>
      </c>
    </row>
    <row r="57" spans="1:4" ht="14.25" customHeight="1">
      <c r="A57" s="4">
        <v>56</v>
      </c>
      <c r="B57" s="4">
        <v>0</v>
      </c>
      <c r="C57" s="4">
        <v>60</v>
      </c>
      <c r="D57" s="4" t="s">
        <v>174</v>
      </c>
    </row>
    <row r="58" spans="1:4" ht="14.25" customHeight="1">
      <c r="A58" s="4">
        <v>57</v>
      </c>
      <c r="B58" s="4">
        <v>1</v>
      </c>
      <c r="C58" s="4">
        <v>95</v>
      </c>
      <c r="D58" s="4" t="s">
        <v>175</v>
      </c>
    </row>
    <row r="59" spans="1:4" ht="14.25" customHeight="1">
      <c r="A59" s="4">
        <v>58</v>
      </c>
      <c r="B59" s="4">
        <v>1</v>
      </c>
      <c r="C59" s="4">
        <v>95</v>
      </c>
      <c r="D59" s="4" t="s">
        <v>176</v>
      </c>
    </row>
    <row r="60" spans="1:4" ht="14.25" customHeight="1">
      <c r="A60" s="4">
        <v>59</v>
      </c>
      <c r="B60" s="4">
        <v>1</v>
      </c>
      <c r="C60" s="4">
        <v>80</v>
      </c>
      <c r="D60" s="4" t="s">
        <v>177</v>
      </c>
    </row>
    <row r="61" spans="1:4" ht="14.25" customHeight="1">
      <c r="A61" s="4">
        <v>60</v>
      </c>
      <c r="B61" s="4">
        <v>1</v>
      </c>
      <c r="C61" s="4">
        <v>80</v>
      </c>
      <c r="D61" s="4" t="s">
        <v>178</v>
      </c>
    </row>
    <row r="62" spans="1:4" ht="14.25" customHeight="1">
      <c r="A62" s="4">
        <v>61</v>
      </c>
      <c r="B62" s="4">
        <v>1</v>
      </c>
      <c r="C62" s="4">
        <v>80</v>
      </c>
      <c r="D62" s="4" t="s">
        <v>179</v>
      </c>
    </row>
    <row r="63" spans="1:4" ht="14.25" customHeight="1">
      <c r="A63" s="4">
        <v>62</v>
      </c>
      <c r="B63" s="4">
        <v>0</v>
      </c>
      <c r="C63" s="4">
        <v>60</v>
      </c>
      <c r="D63" s="4" t="s">
        <v>180</v>
      </c>
    </row>
    <row r="64" spans="1:4" ht="14.25" customHeight="1">
      <c r="A64" s="4">
        <v>63</v>
      </c>
      <c r="B64" s="4">
        <v>1</v>
      </c>
      <c r="C64" s="4">
        <v>80</v>
      </c>
      <c r="D64" s="4" t="s">
        <v>181</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2.6640625" defaultRowHeight="15" customHeight="1"/>
  <cols>
    <col min="1" max="26" width="8.6640625" customWidth="1"/>
  </cols>
  <sheetData>
    <row r="1" spans="1:6" ht="14.25" customHeight="1">
      <c r="A1" s="6" t="s">
        <v>0</v>
      </c>
      <c r="B1" s="7" t="s">
        <v>19</v>
      </c>
      <c r="C1" s="6" t="s">
        <v>20</v>
      </c>
      <c r="D1" s="6" t="s">
        <v>21</v>
      </c>
      <c r="E1" s="6"/>
      <c r="F1" s="6"/>
    </row>
    <row r="2" spans="1:6" ht="14.25" customHeight="1">
      <c r="A2" s="3">
        <v>1</v>
      </c>
      <c r="B2" s="3">
        <v>1</v>
      </c>
      <c r="C2" s="3">
        <v>92</v>
      </c>
      <c r="D2" s="3" t="s">
        <v>182</v>
      </c>
      <c r="E2" s="3"/>
      <c r="F2" s="3"/>
    </row>
    <row r="3" spans="1:6" ht="14.25" customHeight="1">
      <c r="A3" s="3">
        <v>2</v>
      </c>
      <c r="B3" s="3">
        <v>0</v>
      </c>
      <c r="C3" s="3">
        <v>70</v>
      </c>
      <c r="D3" s="3" t="s">
        <v>183</v>
      </c>
      <c r="E3" s="3"/>
      <c r="F3" s="3"/>
    </row>
    <row r="4" spans="1:6" ht="14.25" customHeight="1">
      <c r="A4" s="3">
        <v>3</v>
      </c>
      <c r="B4" s="3">
        <v>1</v>
      </c>
      <c r="C4" s="3">
        <v>99</v>
      </c>
      <c r="D4" s="3" t="s">
        <v>184</v>
      </c>
      <c r="E4" s="3"/>
      <c r="F4" s="3"/>
    </row>
    <row r="5" spans="1:6" ht="14.25" customHeight="1">
      <c r="A5" s="3">
        <v>4</v>
      </c>
      <c r="B5" s="3">
        <v>0</v>
      </c>
      <c r="C5" s="3">
        <v>94</v>
      </c>
      <c r="D5" s="3" t="s">
        <v>185</v>
      </c>
      <c r="E5" s="3"/>
      <c r="F5" s="3"/>
    </row>
    <row r="6" spans="1:6" ht="14.25" customHeight="1">
      <c r="A6" s="3">
        <v>5</v>
      </c>
      <c r="B6" s="3">
        <v>1</v>
      </c>
      <c r="C6" s="3">
        <v>99</v>
      </c>
      <c r="D6" s="3" t="s">
        <v>186</v>
      </c>
      <c r="E6" s="3"/>
      <c r="F6" s="3"/>
    </row>
    <row r="7" spans="1:6" ht="14.25" customHeight="1">
      <c r="A7" s="3">
        <v>6</v>
      </c>
      <c r="B7" s="3">
        <v>1</v>
      </c>
      <c r="C7" s="3">
        <v>99</v>
      </c>
      <c r="D7" s="3" t="s">
        <v>187</v>
      </c>
      <c r="E7" s="3"/>
      <c r="F7" s="3"/>
    </row>
    <row r="8" spans="1:6" ht="14.25" customHeight="1">
      <c r="A8" s="3">
        <v>7</v>
      </c>
      <c r="B8" s="3">
        <v>0</v>
      </c>
      <c r="C8" s="3">
        <v>94</v>
      </c>
      <c r="D8" s="3" t="s">
        <v>188</v>
      </c>
      <c r="E8" s="3"/>
      <c r="F8" s="3"/>
    </row>
    <row r="9" spans="1:6" ht="14.25" customHeight="1">
      <c r="A9" s="3">
        <v>8</v>
      </c>
      <c r="B9" s="3">
        <v>0</v>
      </c>
      <c r="C9" s="3">
        <v>69</v>
      </c>
      <c r="D9" s="3" t="s">
        <v>189</v>
      </c>
      <c r="E9" s="3"/>
      <c r="F9" s="3"/>
    </row>
    <row r="10" spans="1:6" ht="14.25" customHeight="1">
      <c r="A10" s="3">
        <v>9</v>
      </c>
      <c r="B10" s="3">
        <v>1</v>
      </c>
      <c r="C10" s="3">
        <v>96</v>
      </c>
      <c r="D10" s="3" t="s">
        <v>190</v>
      </c>
      <c r="E10" s="3"/>
      <c r="F10" s="3"/>
    </row>
    <row r="11" spans="1:6" ht="14.25" customHeight="1">
      <c r="A11" s="3">
        <v>10</v>
      </c>
      <c r="B11" s="3">
        <v>1</v>
      </c>
      <c r="C11" s="3">
        <v>65</v>
      </c>
      <c r="D11" s="3" t="s">
        <v>191</v>
      </c>
      <c r="E11" s="3"/>
      <c r="F11" s="3"/>
    </row>
    <row r="12" spans="1:6" ht="14.25" customHeight="1">
      <c r="A12" s="3">
        <v>11</v>
      </c>
      <c r="B12" s="3">
        <v>1</v>
      </c>
      <c r="C12" s="3">
        <v>65</v>
      </c>
      <c r="D12" s="3" t="s">
        <v>192</v>
      </c>
      <c r="E12" s="3"/>
      <c r="F12" s="3"/>
    </row>
    <row r="13" spans="1:6" ht="14.25" customHeight="1">
      <c r="A13" s="3">
        <v>12</v>
      </c>
      <c r="B13" s="3">
        <v>0</v>
      </c>
      <c r="C13" s="3">
        <v>78</v>
      </c>
      <c r="D13" s="3" t="s">
        <v>193</v>
      </c>
      <c r="E13" s="3"/>
      <c r="F13" s="3"/>
    </row>
    <row r="14" spans="1:6" ht="14.25" customHeight="1">
      <c r="A14" s="3">
        <v>13</v>
      </c>
      <c r="B14" s="3">
        <v>1</v>
      </c>
      <c r="C14" s="3">
        <v>99</v>
      </c>
      <c r="D14" s="3" t="s">
        <v>194</v>
      </c>
      <c r="E14" s="3"/>
      <c r="F14" s="3"/>
    </row>
    <row r="15" spans="1:6" ht="14.25" customHeight="1">
      <c r="A15" s="3">
        <v>14</v>
      </c>
      <c r="B15" s="3">
        <v>1</v>
      </c>
      <c r="C15" s="3">
        <v>65</v>
      </c>
      <c r="D15" s="3" t="s">
        <v>195</v>
      </c>
      <c r="E15" s="3"/>
      <c r="F15" s="3"/>
    </row>
    <row r="16" spans="1:6" ht="14.25" customHeight="1">
      <c r="A16" s="3">
        <v>15</v>
      </c>
      <c r="B16" s="3">
        <v>0</v>
      </c>
      <c r="C16" s="3">
        <v>84</v>
      </c>
      <c r="D16" s="3" t="s">
        <v>196</v>
      </c>
      <c r="E16" s="3"/>
      <c r="F16" s="3"/>
    </row>
    <row r="17" spans="1:6" ht="14.25" customHeight="1">
      <c r="A17" s="3">
        <v>16</v>
      </c>
      <c r="B17" s="3">
        <v>1</v>
      </c>
      <c r="C17" s="3">
        <v>65</v>
      </c>
      <c r="D17" s="3" t="s">
        <v>197</v>
      </c>
      <c r="E17" s="3"/>
      <c r="F17" s="3"/>
    </row>
    <row r="18" spans="1:6" ht="14.25" customHeight="1">
      <c r="A18" s="3">
        <v>17</v>
      </c>
      <c r="B18" s="3">
        <v>0</v>
      </c>
      <c r="C18" s="3">
        <v>88</v>
      </c>
      <c r="D18" s="3" t="s">
        <v>198</v>
      </c>
      <c r="E18" s="3"/>
      <c r="F18" s="3"/>
    </row>
    <row r="19" spans="1:6" ht="14.25" customHeight="1">
      <c r="A19" s="3">
        <v>18</v>
      </c>
      <c r="B19" s="3">
        <v>1</v>
      </c>
      <c r="C19" s="3">
        <v>99</v>
      </c>
      <c r="D19" s="3" t="s">
        <v>199</v>
      </c>
      <c r="E19" s="3"/>
      <c r="F19" s="3"/>
    </row>
    <row r="20" spans="1:6" ht="14.25" customHeight="1">
      <c r="A20" s="3">
        <v>19</v>
      </c>
      <c r="B20" s="3">
        <v>1</v>
      </c>
      <c r="C20" s="3">
        <v>99</v>
      </c>
      <c r="D20" s="3" t="s">
        <v>200</v>
      </c>
      <c r="E20" s="3"/>
      <c r="F20" s="3"/>
    </row>
    <row r="21" spans="1:6" ht="14.25" customHeight="1">
      <c r="A21" s="3">
        <v>20</v>
      </c>
      <c r="B21" s="3">
        <v>1</v>
      </c>
      <c r="C21" s="3">
        <v>80</v>
      </c>
      <c r="D21" s="3" t="s">
        <v>201</v>
      </c>
      <c r="E21" s="3"/>
      <c r="F21" s="3"/>
    </row>
    <row r="22" spans="1:6" ht="14.25" customHeight="1">
      <c r="A22" s="3">
        <v>21</v>
      </c>
      <c r="B22" s="3">
        <v>1</v>
      </c>
      <c r="C22" s="3">
        <v>65</v>
      </c>
      <c r="D22" s="3" t="s">
        <v>202</v>
      </c>
      <c r="E22" s="3"/>
      <c r="F22" s="3"/>
    </row>
    <row r="23" spans="1:6" ht="14.25" customHeight="1">
      <c r="A23" s="3">
        <v>22</v>
      </c>
      <c r="B23" s="3">
        <v>1</v>
      </c>
      <c r="C23" s="3">
        <v>65</v>
      </c>
      <c r="D23" s="3" t="s">
        <v>203</v>
      </c>
      <c r="E23" s="3"/>
      <c r="F23" s="3"/>
    </row>
    <row r="24" spans="1:6" ht="14.25" customHeight="1">
      <c r="A24" s="3">
        <v>23</v>
      </c>
      <c r="B24" s="3">
        <v>1</v>
      </c>
      <c r="C24" s="3">
        <v>64</v>
      </c>
      <c r="D24" s="3" t="s">
        <v>204</v>
      </c>
      <c r="E24" s="3"/>
      <c r="F24" s="3"/>
    </row>
    <row r="25" spans="1:6" ht="14.25" customHeight="1">
      <c r="A25" s="3">
        <v>24</v>
      </c>
      <c r="B25" s="3">
        <v>1</v>
      </c>
      <c r="C25" s="3">
        <v>71</v>
      </c>
      <c r="D25" s="3" t="s">
        <v>205</v>
      </c>
      <c r="E25" s="3"/>
      <c r="F25" s="3"/>
    </row>
    <row r="26" spans="1:6" ht="14.25" customHeight="1">
      <c r="A26" s="3">
        <v>25</v>
      </c>
      <c r="B26" s="3">
        <v>1</v>
      </c>
      <c r="C26" s="3">
        <v>99</v>
      </c>
      <c r="D26" s="3" t="s">
        <v>206</v>
      </c>
      <c r="E26" s="3"/>
      <c r="F26" s="3"/>
    </row>
    <row r="27" spans="1:6" ht="14.25" customHeight="1">
      <c r="A27" s="3">
        <v>26</v>
      </c>
      <c r="B27" s="3">
        <v>1</v>
      </c>
      <c r="C27" s="3">
        <v>99</v>
      </c>
      <c r="D27" s="3" t="s">
        <v>207</v>
      </c>
      <c r="E27" s="3"/>
      <c r="F27" s="3"/>
    </row>
    <row r="28" spans="1:6" ht="14.25" customHeight="1">
      <c r="A28" s="3">
        <v>27</v>
      </c>
      <c r="B28" s="3">
        <v>1</v>
      </c>
      <c r="C28" s="3">
        <v>99</v>
      </c>
      <c r="D28" s="3" t="s">
        <v>208</v>
      </c>
      <c r="E28" s="3"/>
      <c r="F28" s="3"/>
    </row>
    <row r="29" spans="1:6" ht="14.25" customHeight="1">
      <c r="A29" s="3">
        <v>28</v>
      </c>
      <c r="B29" s="3">
        <v>1</v>
      </c>
      <c r="C29" s="3">
        <v>69</v>
      </c>
      <c r="D29" s="3" t="s">
        <v>209</v>
      </c>
      <c r="E29" s="3"/>
      <c r="F29" s="3"/>
    </row>
    <row r="30" spans="1:6" ht="14.25" customHeight="1">
      <c r="A30" s="3">
        <v>29</v>
      </c>
      <c r="B30" s="3">
        <v>1</v>
      </c>
      <c r="C30" s="3">
        <v>62</v>
      </c>
      <c r="D30" s="3" t="s">
        <v>210</v>
      </c>
      <c r="E30" s="3"/>
      <c r="F30" s="3"/>
    </row>
    <row r="31" spans="1:6" ht="14.25" customHeight="1">
      <c r="A31" s="3">
        <v>30</v>
      </c>
      <c r="B31" s="3">
        <v>0</v>
      </c>
      <c r="C31" s="3">
        <v>79</v>
      </c>
      <c r="D31" s="3" t="s">
        <v>211</v>
      </c>
      <c r="E31" s="3"/>
      <c r="F31" s="3"/>
    </row>
    <row r="32" spans="1:6" ht="14.25" customHeight="1">
      <c r="A32" s="4">
        <v>31</v>
      </c>
      <c r="B32" s="4">
        <v>1</v>
      </c>
      <c r="C32" s="4">
        <v>99</v>
      </c>
      <c r="D32" s="4" t="s">
        <v>212</v>
      </c>
    </row>
    <row r="33" spans="1:4" ht="14.25" customHeight="1">
      <c r="A33" s="4">
        <v>32</v>
      </c>
      <c r="B33" s="4">
        <v>0</v>
      </c>
      <c r="C33" s="4">
        <v>94</v>
      </c>
      <c r="D33" s="4" t="s">
        <v>213</v>
      </c>
    </row>
    <row r="34" spans="1:4" ht="14.25" customHeight="1">
      <c r="A34" s="4">
        <v>33</v>
      </c>
      <c r="B34" s="4">
        <v>0</v>
      </c>
      <c r="C34" s="4">
        <v>98</v>
      </c>
      <c r="D34" s="4" t="s">
        <v>214</v>
      </c>
    </row>
    <row r="35" spans="1:4" ht="14.25" customHeight="1">
      <c r="A35" s="4">
        <v>34</v>
      </c>
      <c r="B35" s="4">
        <v>0</v>
      </c>
      <c r="C35" s="4">
        <v>74</v>
      </c>
      <c r="D35" s="4" t="s">
        <v>215</v>
      </c>
    </row>
    <row r="36" spans="1:4" ht="14.25" customHeight="1">
      <c r="A36" s="4">
        <v>35</v>
      </c>
      <c r="B36" s="4">
        <v>0</v>
      </c>
      <c r="C36" s="4">
        <v>99</v>
      </c>
      <c r="D36" s="4" t="s">
        <v>216</v>
      </c>
    </row>
    <row r="37" spans="1:4" ht="14.25" customHeight="1">
      <c r="A37" s="4">
        <v>36</v>
      </c>
      <c r="B37" s="4">
        <v>0</v>
      </c>
      <c r="C37" s="4">
        <v>82</v>
      </c>
      <c r="D37" s="4" t="s">
        <v>217</v>
      </c>
    </row>
    <row r="38" spans="1:4" ht="14.25" customHeight="1">
      <c r="A38" s="4">
        <v>37</v>
      </c>
      <c r="B38" s="4">
        <v>1</v>
      </c>
      <c r="C38" s="4">
        <v>99</v>
      </c>
      <c r="D38" s="4" t="s">
        <v>218</v>
      </c>
    </row>
    <row r="39" spans="1:4" ht="14.25" customHeight="1">
      <c r="A39" s="4">
        <v>38</v>
      </c>
      <c r="B39" s="4">
        <v>0</v>
      </c>
      <c r="C39" s="4">
        <v>90</v>
      </c>
      <c r="D39" s="4" t="s">
        <v>219</v>
      </c>
    </row>
    <row r="40" spans="1:4" ht="14.25" customHeight="1">
      <c r="A40" s="4">
        <v>39</v>
      </c>
      <c r="B40" s="4">
        <v>1</v>
      </c>
      <c r="C40" s="4">
        <v>99</v>
      </c>
      <c r="D40" s="4" t="s">
        <v>220</v>
      </c>
    </row>
    <row r="41" spans="1:4" ht="14.25" customHeight="1">
      <c r="A41" s="4">
        <v>40</v>
      </c>
      <c r="B41" s="4">
        <v>1</v>
      </c>
      <c r="C41" s="4">
        <v>82</v>
      </c>
      <c r="D41" s="4" t="s">
        <v>221</v>
      </c>
    </row>
    <row r="42" spans="1:4" ht="14.25" customHeight="1">
      <c r="A42" s="4">
        <v>41</v>
      </c>
      <c r="B42" s="4">
        <v>1</v>
      </c>
      <c r="C42" s="4">
        <v>68</v>
      </c>
      <c r="D42" s="4" t="s">
        <v>222</v>
      </c>
    </row>
    <row r="43" spans="1:4" ht="14.25" customHeight="1">
      <c r="A43" s="4">
        <v>42</v>
      </c>
      <c r="B43" s="4">
        <v>0</v>
      </c>
      <c r="C43" s="4">
        <v>80</v>
      </c>
      <c r="D43" s="4" t="s">
        <v>223</v>
      </c>
    </row>
    <row r="44" spans="1:4" ht="14.25" customHeight="1">
      <c r="A44" s="4">
        <v>43</v>
      </c>
      <c r="B44" s="4">
        <v>0</v>
      </c>
      <c r="C44" s="4">
        <v>89</v>
      </c>
      <c r="D44" s="4" t="s">
        <v>224</v>
      </c>
    </row>
    <row r="45" spans="1:4" ht="14.25" customHeight="1">
      <c r="A45" s="4">
        <v>44</v>
      </c>
      <c r="B45" s="4">
        <v>0</v>
      </c>
      <c r="C45" s="4">
        <v>78</v>
      </c>
      <c r="D45" s="4" t="s">
        <v>193</v>
      </c>
    </row>
    <row r="46" spans="1:4" ht="14.25" customHeight="1">
      <c r="A46" s="4">
        <v>45</v>
      </c>
      <c r="B46" s="4">
        <v>1</v>
      </c>
      <c r="C46" s="4">
        <v>65</v>
      </c>
      <c r="D46" s="4" t="s">
        <v>225</v>
      </c>
    </row>
    <row r="47" spans="1:4" ht="14.25" customHeight="1">
      <c r="A47" s="4">
        <v>46</v>
      </c>
      <c r="B47" s="4">
        <v>0</v>
      </c>
      <c r="C47" s="4">
        <v>95</v>
      </c>
      <c r="D47" s="4" t="s">
        <v>226</v>
      </c>
    </row>
    <row r="48" spans="1:4" ht="14.25" customHeight="1">
      <c r="A48" s="4">
        <v>47</v>
      </c>
      <c r="B48" s="4">
        <v>1</v>
      </c>
      <c r="C48" s="4">
        <v>99</v>
      </c>
      <c r="D48" s="4" t="s">
        <v>227</v>
      </c>
    </row>
    <row r="49" spans="1:4" ht="14.25" customHeight="1">
      <c r="A49" s="4">
        <v>48</v>
      </c>
      <c r="B49" s="4">
        <v>0</v>
      </c>
      <c r="C49" s="4">
        <v>70</v>
      </c>
      <c r="D49" s="4" t="s">
        <v>183</v>
      </c>
    </row>
    <row r="50" spans="1:4" ht="14.25" customHeight="1">
      <c r="A50" s="4">
        <v>49</v>
      </c>
      <c r="B50" s="4">
        <v>1</v>
      </c>
      <c r="C50" s="4">
        <v>99</v>
      </c>
      <c r="D50" s="4" t="s">
        <v>228</v>
      </c>
    </row>
    <row r="51" spans="1:4" ht="14.25" customHeight="1">
      <c r="A51" s="4">
        <v>50</v>
      </c>
      <c r="B51" s="4">
        <v>1</v>
      </c>
      <c r="C51" s="4">
        <v>64</v>
      </c>
      <c r="D51" s="4" t="s">
        <v>229</v>
      </c>
    </row>
    <row r="52" spans="1:4" ht="14.25" customHeight="1">
      <c r="A52" s="4">
        <v>51</v>
      </c>
      <c r="B52" s="4">
        <v>1</v>
      </c>
      <c r="C52" s="4">
        <v>99</v>
      </c>
      <c r="D52" s="4" t="s">
        <v>230</v>
      </c>
    </row>
    <row r="53" spans="1:4" ht="14.25" customHeight="1">
      <c r="A53" s="4">
        <v>52</v>
      </c>
      <c r="B53" s="4">
        <v>0</v>
      </c>
      <c r="C53" s="4">
        <v>95</v>
      </c>
      <c r="D53" s="4" t="s">
        <v>231</v>
      </c>
    </row>
    <row r="54" spans="1:4" ht="14.25" customHeight="1">
      <c r="A54" s="4">
        <v>53</v>
      </c>
      <c r="B54" s="4">
        <v>0</v>
      </c>
      <c r="C54" s="4">
        <v>97</v>
      </c>
      <c r="D54" s="4" t="s">
        <v>232</v>
      </c>
    </row>
    <row r="55" spans="1:4" ht="14.25" customHeight="1">
      <c r="A55" s="4">
        <v>54</v>
      </c>
      <c r="B55" s="4">
        <v>0</v>
      </c>
      <c r="C55" s="4">
        <v>70</v>
      </c>
      <c r="D55" s="4" t="s">
        <v>183</v>
      </c>
    </row>
    <row r="56" spans="1:4" ht="14.25" customHeight="1">
      <c r="A56" s="4">
        <v>55</v>
      </c>
      <c r="B56" s="4">
        <v>1</v>
      </c>
      <c r="C56" s="4">
        <v>99</v>
      </c>
      <c r="D56" s="4" t="s">
        <v>233</v>
      </c>
    </row>
    <row r="57" spans="1:4" ht="14.25" customHeight="1">
      <c r="A57" s="4">
        <v>56</v>
      </c>
      <c r="B57" s="4">
        <v>0</v>
      </c>
      <c r="C57" s="4">
        <v>100</v>
      </c>
      <c r="D57" s="4" t="s">
        <v>234</v>
      </c>
    </row>
    <row r="58" spans="1:4" ht="14.25" customHeight="1">
      <c r="A58" s="4">
        <v>57</v>
      </c>
      <c r="B58" s="4">
        <v>1</v>
      </c>
      <c r="C58" s="4">
        <v>99</v>
      </c>
      <c r="D58" s="4" t="s">
        <v>235</v>
      </c>
    </row>
    <row r="59" spans="1:4" ht="14.25" customHeight="1">
      <c r="A59" s="4">
        <v>58</v>
      </c>
      <c r="B59" s="4">
        <v>1</v>
      </c>
      <c r="C59" s="4">
        <v>99</v>
      </c>
      <c r="D59" s="4" t="s">
        <v>236</v>
      </c>
    </row>
    <row r="60" spans="1:4" ht="14.25" customHeight="1">
      <c r="A60" s="4">
        <v>59</v>
      </c>
      <c r="B60" s="4">
        <v>1</v>
      </c>
      <c r="C60" s="4">
        <v>77</v>
      </c>
      <c r="D60" s="4" t="s">
        <v>237</v>
      </c>
    </row>
    <row r="61" spans="1:4" ht="14.25" customHeight="1">
      <c r="A61" s="4">
        <v>60</v>
      </c>
      <c r="B61" s="4">
        <v>1</v>
      </c>
      <c r="C61" s="4">
        <v>79</v>
      </c>
      <c r="D61" s="4" t="s">
        <v>238</v>
      </c>
    </row>
    <row r="62" spans="1:4" ht="14.25" customHeight="1">
      <c r="A62" s="4">
        <v>61</v>
      </c>
      <c r="B62" s="4">
        <v>1</v>
      </c>
      <c r="C62" s="4">
        <v>66</v>
      </c>
      <c r="D62" s="4" t="s">
        <v>239</v>
      </c>
    </row>
    <row r="63" spans="1:4" ht="14.25" customHeight="1">
      <c r="A63" s="4">
        <v>62</v>
      </c>
      <c r="B63" s="4">
        <v>0</v>
      </c>
      <c r="C63" s="4">
        <v>94</v>
      </c>
      <c r="D63" s="4" t="s">
        <v>188</v>
      </c>
    </row>
    <row r="64" spans="1:4" ht="14.25" customHeight="1">
      <c r="A64" s="4">
        <v>63</v>
      </c>
      <c r="B64" s="4">
        <v>1</v>
      </c>
      <c r="C64" s="4">
        <v>61</v>
      </c>
      <c r="D64" s="4" t="s">
        <v>240</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000"/>
  <sheetViews>
    <sheetView workbookViewId="0"/>
  </sheetViews>
  <sheetFormatPr defaultColWidth="12.6640625" defaultRowHeight="15" customHeight="1"/>
  <cols>
    <col min="1" max="26" width="8.6640625" customWidth="1"/>
  </cols>
  <sheetData>
    <row r="1" spans="1:6" ht="14.25" customHeight="1">
      <c r="A1" s="6" t="s">
        <v>0</v>
      </c>
      <c r="B1" s="6" t="s">
        <v>19</v>
      </c>
      <c r="C1" s="6" t="s">
        <v>20</v>
      </c>
      <c r="D1" s="6" t="s">
        <v>21</v>
      </c>
      <c r="E1" s="6"/>
      <c r="F1" s="6"/>
    </row>
    <row r="2" spans="1:6" ht="14.25" customHeight="1">
      <c r="A2" s="3">
        <v>1</v>
      </c>
      <c r="B2" s="3">
        <v>1</v>
      </c>
      <c r="C2" s="3">
        <v>85</v>
      </c>
      <c r="D2" s="3" t="s">
        <v>241</v>
      </c>
      <c r="E2" s="3"/>
      <c r="F2" s="3"/>
    </row>
    <row r="3" spans="1:6" ht="14.25" customHeight="1">
      <c r="A3" s="3">
        <v>2</v>
      </c>
      <c r="B3" s="3">
        <v>0</v>
      </c>
      <c r="C3" s="3">
        <v>65</v>
      </c>
      <c r="D3" s="3" t="s">
        <v>242</v>
      </c>
      <c r="E3" s="3"/>
      <c r="F3" s="3"/>
    </row>
    <row r="4" spans="1:6" ht="14.25" customHeight="1">
      <c r="A4" s="3">
        <v>3</v>
      </c>
      <c r="B4" s="3">
        <v>1</v>
      </c>
      <c r="C4" s="3">
        <v>95</v>
      </c>
      <c r="D4" s="3" t="s">
        <v>243</v>
      </c>
      <c r="E4" s="3"/>
      <c r="F4" s="3"/>
    </row>
    <row r="5" spans="1:6" ht="14.25" customHeight="1">
      <c r="A5" s="3">
        <v>4</v>
      </c>
      <c r="B5" s="3">
        <v>0</v>
      </c>
      <c r="C5" s="3">
        <v>90</v>
      </c>
      <c r="D5" s="3" t="s">
        <v>244</v>
      </c>
      <c r="E5" s="3"/>
      <c r="F5" s="3"/>
    </row>
    <row r="6" spans="1:6" ht="14.25" customHeight="1">
      <c r="A6" s="3">
        <v>5</v>
      </c>
      <c r="B6" s="3">
        <v>1</v>
      </c>
      <c r="C6" s="3">
        <v>95</v>
      </c>
      <c r="D6" s="3" t="s">
        <v>245</v>
      </c>
      <c r="E6" s="3"/>
      <c r="F6" s="3"/>
    </row>
    <row r="7" spans="1:6" ht="14.25" customHeight="1">
      <c r="A7" s="3">
        <v>6</v>
      </c>
      <c r="B7" s="3">
        <v>1</v>
      </c>
      <c r="C7" s="3">
        <v>95</v>
      </c>
      <c r="D7" s="3" t="s">
        <v>246</v>
      </c>
      <c r="E7" s="3"/>
      <c r="F7" s="3"/>
    </row>
    <row r="8" spans="1:6" ht="14.25" customHeight="1">
      <c r="A8" s="3">
        <v>7</v>
      </c>
      <c r="B8" s="3">
        <v>0</v>
      </c>
      <c r="C8" s="3">
        <v>90</v>
      </c>
      <c r="D8" s="3" t="s">
        <v>247</v>
      </c>
      <c r="E8" s="3"/>
      <c r="F8" s="3"/>
    </row>
    <row r="9" spans="1:6" ht="14.25" customHeight="1">
      <c r="A9" s="3">
        <v>8</v>
      </c>
      <c r="B9" s="3">
        <v>0</v>
      </c>
      <c r="C9" s="3">
        <v>65</v>
      </c>
      <c r="D9" s="3" t="s">
        <v>248</v>
      </c>
      <c r="E9" s="3"/>
      <c r="F9" s="3"/>
    </row>
    <row r="10" spans="1:6" ht="14.25" customHeight="1">
      <c r="A10" s="3">
        <v>9</v>
      </c>
      <c r="B10" s="3">
        <v>1</v>
      </c>
      <c r="C10" s="3">
        <v>85</v>
      </c>
      <c r="D10" s="3" t="s">
        <v>249</v>
      </c>
      <c r="E10" s="3"/>
      <c r="F10" s="3"/>
    </row>
    <row r="11" spans="1:6" ht="14.25" customHeight="1">
      <c r="A11" s="3">
        <v>10</v>
      </c>
      <c r="B11" s="3">
        <v>1</v>
      </c>
      <c r="C11" s="3">
        <v>70</v>
      </c>
      <c r="D11" s="3" t="s">
        <v>250</v>
      </c>
      <c r="E11" s="3"/>
      <c r="F11" s="3"/>
    </row>
    <row r="12" spans="1:6" ht="14.25" customHeight="1">
      <c r="A12" s="3">
        <v>11</v>
      </c>
      <c r="B12" s="3">
        <v>1</v>
      </c>
      <c r="C12" s="3">
        <v>70</v>
      </c>
      <c r="D12" s="3" t="s">
        <v>251</v>
      </c>
      <c r="E12" s="3"/>
      <c r="F12" s="3"/>
    </row>
    <row r="13" spans="1:6" ht="14.25" customHeight="1">
      <c r="A13" s="3">
        <v>12</v>
      </c>
      <c r="B13" s="3">
        <v>0</v>
      </c>
      <c r="C13" s="3">
        <v>80</v>
      </c>
      <c r="D13" s="3" t="s">
        <v>252</v>
      </c>
      <c r="E13" s="3"/>
      <c r="F13" s="3"/>
    </row>
    <row r="14" spans="1:6" ht="14.25" customHeight="1">
      <c r="A14" s="3">
        <v>13</v>
      </c>
      <c r="B14" s="3">
        <v>1</v>
      </c>
      <c r="C14" s="3">
        <v>95</v>
      </c>
      <c r="D14" s="3" t="s">
        <v>253</v>
      </c>
      <c r="E14" s="3"/>
      <c r="F14" s="3"/>
    </row>
    <row r="15" spans="1:6" ht="14.25" customHeight="1">
      <c r="A15" s="3">
        <v>14</v>
      </c>
      <c r="B15" s="3">
        <v>1</v>
      </c>
      <c r="C15" s="3">
        <v>70</v>
      </c>
      <c r="D15" s="3" t="s">
        <v>254</v>
      </c>
      <c r="E15" s="3"/>
      <c r="F15" s="3"/>
    </row>
    <row r="16" spans="1:6" ht="14.25" customHeight="1">
      <c r="A16" s="3">
        <v>15</v>
      </c>
      <c r="B16" s="3">
        <v>0</v>
      </c>
      <c r="C16" s="3">
        <v>80</v>
      </c>
      <c r="D16" s="3" t="s">
        <v>255</v>
      </c>
      <c r="E16" s="3"/>
      <c r="F16" s="3"/>
    </row>
    <row r="17" spans="1:6" ht="14.25" customHeight="1">
      <c r="A17" s="3">
        <v>16</v>
      </c>
      <c r="B17" s="3">
        <v>1</v>
      </c>
      <c r="C17" s="3">
        <v>85</v>
      </c>
      <c r="D17" s="3" t="s">
        <v>256</v>
      </c>
      <c r="E17" s="3"/>
      <c r="F17" s="3"/>
    </row>
    <row r="18" spans="1:6" ht="14.25" customHeight="1">
      <c r="A18" s="3">
        <v>17</v>
      </c>
      <c r="B18" s="3">
        <v>0</v>
      </c>
      <c r="C18" s="3">
        <v>80</v>
      </c>
      <c r="D18" s="3" t="s">
        <v>257</v>
      </c>
      <c r="E18" s="3"/>
      <c r="F18" s="3"/>
    </row>
    <row r="19" spans="1:6" ht="14.25" customHeight="1">
      <c r="A19" s="3">
        <v>18</v>
      </c>
      <c r="B19" s="3">
        <v>1</v>
      </c>
      <c r="C19" s="3">
        <v>95</v>
      </c>
      <c r="D19" s="3" t="s">
        <v>258</v>
      </c>
      <c r="E19" s="3"/>
      <c r="F19" s="3"/>
    </row>
    <row r="20" spans="1:6" ht="14.25" customHeight="1">
      <c r="A20" s="3">
        <v>19</v>
      </c>
      <c r="B20" s="3">
        <v>1</v>
      </c>
      <c r="C20" s="3">
        <v>95</v>
      </c>
      <c r="D20" s="3" t="s">
        <v>259</v>
      </c>
      <c r="E20" s="3"/>
      <c r="F20" s="3"/>
    </row>
    <row r="21" spans="1:6" ht="14.25" customHeight="1">
      <c r="A21" s="3">
        <v>20</v>
      </c>
      <c r="B21" s="3">
        <v>1</v>
      </c>
      <c r="C21" s="3">
        <v>85</v>
      </c>
      <c r="D21" s="3" t="s">
        <v>260</v>
      </c>
      <c r="E21" s="3"/>
      <c r="F21" s="3"/>
    </row>
    <row r="22" spans="1:6" ht="14.25" customHeight="1">
      <c r="A22" s="3">
        <v>21</v>
      </c>
      <c r="B22" s="3">
        <v>1</v>
      </c>
      <c r="C22" s="3">
        <v>70</v>
      </c>
      <c r="D22" s="3" t="s">
        <v>261</v>
      </c>
      <c r="E22" s="3"/>
      <c r="F22" s="3"/>
    </row>
    <row r="23" spans="1:6" ht="14.25" customHeight="1">
      <c r="A23" s="3">
        <v>22</v>
      </c>
      <c r="B23" s="3">
        <v>1</v>
      </c>
      <c r="C23" s="3">
        <v>85</v>
      </c>
      <c r="D23" s="3" t="s">
        <v>262</v>
      </c>
      <c r="E23" s="3"/>
      <c r="F23" s="3"/>
    </row>
    <row r="24" spans="1:6" ht="14.25" customHeight="1">
      <c r="A24" s="3">
        <v>23</v>
      </c>
      <c r="B24" s="3">
        <v>1</v>
      </c>
      <c r="C24" s="3">
        <v>85</v>
      </c>
      <c r="D24" s="3" t="s">
        <v>263</v>
      </c>
      <c r="E24" s="3"/>
      <c r="F24" s="3"/>
    </row>
    <row r="25" spans="1:6" ht="14.25" customHeight="1">
      <c r="A25" s="3">
        <v>24</v>
      </c>
      <c r="B25" s="3">
        <v>1</v>
      </c>
      <c r="C25" s="3">
        <v>85</v>
      </c>
      <c r="D25" s="3" t="s">
        <v>264</v>
      </c>
      <c r="E25" s="3"/>
      <c r="F25" s="3"/>
    </row>
    <row r="26" spans="1:6" ht="14.25" customHeight="1">
      <c r="A26" s="3">
        <v>25</v>
      </c>
      <c r="B26" s="3">
        <v>1</v>
      </c>
      <c r="C26" s="3">
        <v>95</v>
      </c>
      <c r="D26" s="3" t="s">
        <v>265</v>
      </c>
      <c r="E26" s="3"/>
      <c r="F26" s="3"/>
    </row>
    <row r="27" spans="1:6" ht="14.25" customHeight="1">
      <c r="A27" s="3">
        <v>26</v>
      </c>
      <c r="B27" s="3">
        <v>1</v>
      </c>
      <c r="C27" s="3">
        <v>95</v>
      </c>
      <c r="D27" s="3" t="s">
        <v>266</v>
      </c>
      <c r="E27" s="3"/>
      <c r="F27" s="3"/>
    </row>
    <row r="28" spans="1:6" ht="14.25" customHeight="1">
      <c r="A28" s="3">
        <v>27</v>
      </c>
      <c r="B28" s="3">
        <v>1</v>
      </c>
      <c r="C28" s="3">
        <v>95</v>
      </c>
      <c r="D28" s="3" t="s">
        <v>267</v>
      </c>
      <c r="E28" s="3"/>
      <c r="F28" s="3"/>
    </row>
    <row r="29" spans="1:6" ht="14.25" customHeight="1">
      <c r="A29" s="3">
        <v>28</v>
      </c>
      <c r="B29" s="3">
        <v>1</v>
      </c>
      <c r="C29" s="3">
        <v>85</v>
      </c>
      <c r="D29" s="3" t="s">
        <v>268</v>
      </c>
      <c r="E29" s="3"/>
      <c r="F29" s="3"/>
    </row>
    <row r="30" spans="1:6" ht="14.25" customHeight="1">
      <c r="A30" s="3">
        <v>29</v>
      </c>
      <c r="B30" s="3">
        <v>1</v>
      </c>
      <c r="C30" s="3">
        <v>85</v>
      </c>
      <c r="D30" s="3" t="s">
        <v>269</v>
      </c>
      <c r="E30" s="3"/>
      <c r="F30" s="3"/>
    </row>
    <row r="31" spans="1:6" ht="14.25" customHeight="1">
      <c r="A31" s="3">
        <v>30</v>
      </c>
      <c r="B31" s="3">
        <v>0</v>
      </c>
      <c r="C31" s="3">
        <v>80</v>
      </c>
      <c r="D31" s="3" t="s">
        <v>270</v>
      </c>
      <c r="E31" s="3"/>
      <c r="F31" s="3"/>
    </row>
    <row r="32" spans="1:6" ht="14.25" customHeight="1">
      <c r="A32" s="4">
        <v>31</v>
      </c>
      <c r="B32" s="4">
        <v>1</v>
      </c>
      <c r="C32" s="4">
        <v>95</v>
      </c>
      <c r="D32" s="4" t="s">
        <v>271</v>
      </c>
    </row>
    <row r="33" spans="1:4" ht="14.25" customHeight="1">
      <c r="A33" s="4">
        <v>32</v>
      </c>
      <c r="B33" s="4">
        <v>0</v>
      </c>
      <c r="C33" s="4">
        <v>90</v>
      </c>
      <c r="D33" s="4" t="s">
        <v>272</v>
      </c>
    </row>
    <row r="34" spans="1:4" ht="14.25" customHeight="1">
      <c r="A34" s="4">
        <v>33</v>
      </c>
      <c r="B34" s="4">
        <v>0</v>
      </c>
      <c r="C34" s="4">
        <v>90</v>
      </c>
      <c r="D34" s="4" t="s">
        <v>273</v>
      </c>
    </row>
    <row r="35" spans="1:4" ht="14.25" customHeight="1">
      <c r="A35" s="4">
        <v>34</v>
      </c>
      <c r="B35" s="4">
        <v>0</v>
      </c>
      <c r="C35" s="4">
        <v>65</v>
      </c>
      <c r="D35" s="4" t="s">
        <v>274</v>
      </c>
    </row>
    <row r="36" spans="1:4" ht="14.25" customHeight="1">
      <c r="A36" s="4">
        <v>35</v>
      </c>
      <c r="B36" s="4">
        <v>0</v>
      </c>
      <c r="C36" s="4">
        <v>90</v>
      </c>
      <c r="D36" s="4" t="s">
        <v>275</v>
      </c>
    </row>
    <row r="37" spans="1:4" ht="14.25" customHeight="1">
      <c r="A37" s="4">
        <v>36</v>
      </c>
      <c r="B37" s="4">
        <v>0</v>
      </c>
      <c r="C37" s="4">
        <v>80</v>
      </c>
      <c r="D37" s="4" t="s">
        <v>276</v>
      </c>
    </row>
    <row r="38" spans="1:4" ht="14.25" customHeight="1">
      <c r="A38" s="4">
        <v>37</v>
      </c>
      <c r="B38" s="4">
        <v>1</v>
      </c>
      <c r="C38" s="4">
        <v>95</v>
      </c>
      <c r="D38" s="4" t="s">
        <v>277</v>
      </c>
    </row>
    <row r="39" spans="1:4" ht="14.25" customHeight="1">
      <c r="A39" s="4">
        <v>38</v>
      </c>
      <c r="B39" s="4">
        <v>0</v>
      </c>
      <c r="C39" s="4">
        <v>80</v>
      </c>
      <c r="D39" s="4" t="s">
        <v>278</v>
      </c>
    </row>
    <row r="40" spans="1:4" ht="14.25" customHeight="1">
      <c r="A40" s="4">
        <v>39</v>
      </c>
      <c r="B40" s="4">
        <v>1</v>
      </c>
      <c r="C40" s="4">
        <v>95</v>
      </c>
      <c r="D40" s="4" t="s">
        <v>279</v>
      </c>
    </row>
    <row r="41" spans="1:4" ht="14.25" customHeight="1">
      <c r="A41" s="4">
        <v>40</v>
      </c>
      <c r="B41" s="4">
        <v>1</v>
      </c>
      <c r="C41" s="4">
        <v>85</v>
      </c>
      <c r="D41" s="4" t="s">
        <v>280</v>
      </c>
    </row>
    <row r="42" spans="1:4" ht="14.25" customHeight="1">
      <c r="A42" s="4">
        <v>41</v>
      </c>
      <c r="B42" s="4">
        <v>1</v>
      </c>
      <c r="C42" s="4">
        <v>85</v>
      </c>
      <c r="D42" s="4" t="s">
        <v>281</v>
      </c>
    </row>
    <row r="43" spans="1:4" ht="14.25" customHeight="1">
      <c r="A43" s="4">
        <v>42</v>
      </c>
      <c r="B43" s="4">
        <v>0</v>
      </c>
      <c r="C43" s="4">
        <v>80</v>
      </c>
      <c r="D43" s="4" t="s">
        <v>282</v>
      </c>
    </row>
    <row r="44" spans="1:4" ht="14.25" customHeight="1">
      <c r="A44" s="4">
        <v>43</v>
      </c>
      <c r="B44" s="4">
        <v>0</v>
      </c>
      <c r="C44" s="4">
        <v>80</v>
      </c>
      <c r="D44" s="4" t="s">
        <v>283</v>
      </c>
    </row>
    <row r="45" spans="1:4" ht="14.25" customHeight="1">
      <c r="A45" s="4">
        <v>44</v>
      </c>
      <c r="B45" s="4">
        <v>0</v>
      </c>
      <c r="C45" s="4">
        <v>80</v>
      </c>
      <c r="D45" s="4" t="s">
        <v>252</v>
      </c>
    </row>
    <row r="46" spans="1:4" ht="14.25" customHeight="1">
      <c r="A46" s="4">
        <v>45</v>
      </c>
      <c r="B46" s="4">
        <v>1</v>
      </c>
      <c r="C46" s="4">
        <v>70</v>
      </c>
      <c r="D46" s="4" t="s">
        <v>284</v>
      </c>
    </row>
    <row r="47" spans="1:4" ht="14.25" customHeight="1">
      <c r="A47" s="4">
        <v>46</v>
      </c>
      <c r="B47" s="4">
        <v>0</v>
      </c>
      <c r="C47" s="4">
        <v>90</v>
      </c>
      <c r="D47" s="4" t="s">
        <v>285</v>
      </c>
    </row>
    <row r="48" spans="1:4" ht="14.25" customHeight="1">
      <c r="A48" s="4">
        <v>47</v>
      </c>
      <c r="B48" s="4">
        <v>1</v>
      </c>
      <c r="C48" s="4">
        <v>95</v>
      </c>
      <c r="D48" s="4" t="s">
        <v>286</v>
      </c>
    </row>
    <row r="49" spans="1:4" ht="14.25" customHeight="1">
      <c r="A49" s="4">
        <v>48</v>
      </c>
      <c r="B49" s="4">
        <v>0</v>
      </c>
      <c r="C49" s="4">
        <v>65</v>
      </c>
      <c r="D49" s="4" t="s">
        <v>242</v>
      </c>
    </row>
    <row r="50" spans="1:4" ht="14.25" customHeight="1">
      <c r="A50" s="4">
        <v>49</v>
      </c>
      <c r="B50" s="4">
        <v>1</v>
      </c>
      <c r="C50" s="4">
        <v>95</v>
      </c>
      <c r="D50" s="4" t="s">
        <v>287</v>
      </c>
    </row>
    <row r="51" spans="1:4" ht="14.25" customHeight="1">
      <c r="A51" s="4">
        <v>50</v>
      </c>
      <c r="B51" s="4">
        <v>1</v>
      </c>
      <c r="C51" s="4">
        <v>85</v>
      </c>
      <c r="D51" s="4" t="s">
        <v>288</v>
      </c>
    </row>
    <row r="52" spans="1:4" ht="14.25" customHeight="1">
      <c r="A52" s="4">
        <v>51</v>
      </c>
      <c r="B52" s="4">
        <v>1</v>
      </c>
      <c r="C52" s="4">
        <v>95</v>
      </c>
      <c r="D52" s="4" t="s">
        <v>289</v>
      </c>
    </row>
    <row r="53" spans="1:4" ht="14.25" customHeight="1">
      <c r="A53" s="4">
        <v>52</v>
      </c>
      <c r="B53" s="4">
        <v>0</v>
      </c>
      <c r="C53" s="4">
        <v>90</v>
      </c>
      <c r="D53" s="4" t="s">
        <v>290</v>
      </c>
    </row>
    <row r="54" spans="1:4" ht="14.25" customHeight="1">
      <c r="A54" s="4">
        <v>53</v>
      </c>
      <c r="B54" s="4">
        <v>0</v>
      </c>
      <c r="C54" s="4">
        <v>90</v>
      </c>
      <c r="D54" s="4" t="s">
        <v>291</v>
      </c>
    </row>
    <row r="55" spans="1:4" ht="14.25" customHeight="1">
      <c r="A55" s="4">
        <v>54</v>
      </c>
      <c r="B55" s="4">
        <v>0</v>
      </c>
      <c r="C55" s="4">
        <v>65</v>
      </c>
      <c r="D55" s="4" t="s">
        <v>242</v>
      </c>
    </row>
    <row r="56" spans="1:4" ht="14.25" customHeight="1">
      <c r="A56" s="4">
        <v>55</v>
      </c>
      <c r="B56" s="4">
        <v>1</v>
      </c>
      <c r="C56" s="4">
        <v>95</v>
      </c>
      <c r="D56" s="4" t="s">
        <v>292</v>
      </c>
    </row>
    <row r="57" spans="1:4" ht="14.25" customHeight="1">
      <c r="A57" s="4">
        <v>56</v>
      </c>
      <c r="B57" s="4">
        <v>0</v>
      </c>
      <c r="C57" s="4">
        <v>90</v>
      </c>
      <c r="D57" s="4" t="s">
        <v>293</v>
      </c>
    </row>
    <row r="58" spans="1:4" ht="14.25" customHeight="1">
      <c r="A58" s="4">
        <v>57</v>
      </c>
      <c r="B58" s="4">
        <v>1</v>
      </c>
      <c r="C58" s="4">
        <v>95</v>
      </c>
      <c r="D58" s="4" t="s">
        <v>294</v>
      </c>
    </row>
    <row r="59" spans="1:4" ht="14.25" customHeight="1">
      <c r="A59" s="4">
        <v>58</v>
      </c>
      <c r="B59" s="4">
        <v>1</v>
      </c>
      <c r="C59" s="4">
        <v>95</v>
      </c>
      <c r="D59" s="4" t="s">
        <v>295</v>
      </c>
    </row>
    <row r="60" spans="1:4" ht="14.25" customHeight="1">
      <c r="A60" s="4">
        <v>59</v>
      </c>
      <c r="B60" s="4">
        <v>1</v>
      </c>
      <c r="C60" s="4">
        <v>85</v>
      </c>
      <c r="D60" s="4" t="s">
        <v>296</v>
      </c>
    </row>
    <row r="61" spans="1:4" ht="14.25" customHeight="1">
      <c r="A61" s="4">
        <v>60</v>
      </c>
      <c r="B61" s="4">
        <v>1</v>
      </c>
      <c r="C61" s="4">
        <v>85</v>
      </c>
      <c r="D61" s="4" t="s">
        <v>297</v>
      </c>
    </row>
    <row r="62" spans="1:4" ht="14.25" customHeight="1">
      <c r="A62" s="4">
        <v>61</v>
      </c>
      <c r="B62" s="4">
        <v>1</v>
      </c>
      <c r="C62" s="4">
        <v>85</v>
      </c>
      <c r="D62" s="4" t="s">
        <v>298</v>
      </c>
    </row>
    <row r="63" spans="1:4" ht="14.25" customHeight="1">
      <c r="A63" s="4">
        <v>62</v>
      </c>
      <c r="B63" s="4">
        <v>0</v>
      </c>
      <c r="C63" s="4">
        <v>90</v>
      </c>
      <c r="D63" s="4" t="s">
        <v>247</v>
      </c>
    </row>
    <row r="64" spans="1:4" ht="14.25" customHeight="1">
      <c r="A64" s="4">
        <v>63</v>
      </c>
      <c r="B64" s="4">
        <v>1</v>
      </c>
      <c r="C64" s="4">
        <v>85</v>
      </c>
      <c r="D64" s="4" t="s">
        <v>299</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000"/>
  <sheetViews>
    <sheetView workbookViewId="0"/>
  </sheetViews>
  <sheetFormatPr defaultColWidth="12.6640625" defaultRowHeight="15" customHeight="1"/>
  <cols>
    <col min="1" max="26" width="8.6640625" customWidth="1"/>
  </cols>
  <sheetData>
    <row r="1" spans="1:6" ht="14.25" customHeight="1">
      <c r="A1" s="6" t="s">
        <v>0</v>
      </c>
      <c r="B1" s="6" t="s">
        <v>19</v>
      </c>
      <c r="C1" s="4" t="s">
        <v>20</v>
      </c>
      <c r="D1" s="4" t="s">
        <v>21</v>
      </c>
      <c r="E1" s="6"/>
      <c r="F1" s="6"/>
    </row>
    <row r="2" spans="1:6" ht="14.25" customHeight="1">
      <c r="A2" s="3">
        <v>1</v>
      </c>
      <c r="B2" s="3">
        <v>1</v>
      </c>
      <c r="C2" s="4">
        <v>85</v>
      </c>
      <c r="D2" s="4" t="s">
        <v>22</v>
      </c>
      <c r="E2" s="3"/>
      <c r="F2" s="3"/>
    </row>
    <row r="3" spans="1:6" ht="14.25" customHeight="1">
      <c r="A3" s="3">
        <v>2</v>
      </c>
      <c r="B3" s="3">
        <v>0</v>
      </c>
      <c r="C3" s="4">
        <v>85</v>
      </c>
      <c r="D3" s="4" t="s">
        <v>23</v>
      </c>
      <c r="E3" s="3"/>
      <c r="F3" s="3"/>
    </row>
    <row r="4" spans="1:6" ht="14.25" customHeight="1">
      <c r="A4" s="3">
        <v>3</v>
      </c>
      <c r="B4" s="3">
        <v>1</v>
      </c>
      <c r="C4" s="4">
        <v>87</v>
      </c>
      <c r="D4" s="4" t="s">
        <v>24</v>
      </c>
      <c r="E4" s="3"/>
      <c r="F4" s="3"/>
    </row>
    <row r="5" spans="1:6" ht="14.25" customHeight="1">
      <c r="A5" s="3">
        <v>4</v>
      </c>
      <c r="B5" s="3">
        <v>0</v>
      </c>
      <c r="C5" s="4">
        <v>85</v>
      </c>
      <c r="D5" s="4" t="s">
        <v>25</v>
      </c>
      <c r="E5" s="3"/>
      <c r="F5" s="3"/>
    </row>
    <row r="6" spans="1:6" ht="14.25" customHeight="1">
      <c r="A6" s="3">
        <v>5</v>
      </c>
      <c r="B6" s="3">
        <v>1</v>
      </c>
      <c r="C6" s="4">
        <v>78</v>
      </c>
      <c r="D6" s="4" t="s">
        <v>26</v>
      </c>
      <c r="E6" s="3"/>
      <c r="F6" s="3"/>
    </row>
    <row r="7" spans="1:6" ht="14.25" customHeight="1">
      <c r="A7" s="3">
        <v>6</v>
      </c>
      <c r="B7" s="3">
        <v>1</v>
      </c>
      <c r="C7" s="4">
        <v>77</v>
      </c>
      <c r="D7" s="4" t="s">
        <v>27</v>
      </c>
      <c r="E7" s="3"/>
      <c r="F7" s="3"/>
    </row>
    <row r="8" spans="1:6" ht="14.25" customHeight="1">
      <c r="A8" s="3">
        <v>7</v>
      </c>
      <c r="B8" s="3">
        <v>0</v>
      </c>
      <c r="C8" s="4">
        <v>85</v>
      </c>
      <c r="D8" s="4" t="s">
        <v>28</v>
      </c>
      <c r="E8" s="3"/>
      <c r="F8" s="3"/>
    </row>
    <row r="9" spans="1:6" ht="14.25" customHeight="1">
      <c r="A9" s="3">
        <v>8</v>
      </c>
      <c r="B9" s="3">
        <v>0</v>
      </c>
      <c r="C9" s="4">
        <v>85</v>
      </c>
      <c r="D9" s="4" t="s">
        <v>29</v>
      </c>
      <c r="E9" s="3"/>
      <c r="F9" s="3"/>
    </row>
    <row r="10" spans="1:6" ht="14.25" customHeight="1">
      <c r="A10" s="3">
        <v>9</v>
      </c>
      <c r="B10" s="3">
        <v>1</v>
      </c>
      <c r="C10" s="4">
        <v>85</v>
      </c>
      <c r="D10" s="4" t="s">
        <v>30</v>
      </c>
      <c r="E10" s="3"/>
      <c r="F10" s="3"/>
    </row>
    <row r="11" spans="1:6" ht="14.25" customHeight="1">
      <c r="A11" s="3">
        <v>10</v>
      </c>
      <c r="B11" s="3">
        <v>0</v>
      </c>
      <c r="C11" s="4">
        <v>65</v>
      </c>
      <c r="D11" s="4" t="s">
        <v>31</v>
      </c>
      <c r="E11" s="3"/>
      <c r="F11" s="3"/>
    </row>
    <row r="12" spans="1:6" ht="14.25" customHeight="1">
      <c r="A12" s="3">
        <v>11</v>
      </c>
      <c r="B12" s="3">
        <v>0</v>
      </c>
      <c r="C12" s="4">
        <v>65</v>
      </c>
      <c r="D12" s="4" t="s">
        <v>32</v>
      </c>
      <c r="E12" s="3"/>
      <c r="F12" s="3"/>
    </row>
    <row r="13" spans="1:6" ht="14.25" customHeight="1">
      <c r="A13" s="3">
        <v>12</v>
      </c>
      <c r="B13" s="3">
        <v>0</v>
      </c>
      <c r="C13" s="4">
        <v>85</v>
      </c>
      <c r="D13" s="4" t="s">
        <v>33</v>
      </c>
      <c r="E13" s="3"/>
      <c r="F13" s="3"/>
    </row>
    <row r="14" spans="1:6" ht="14.25" customHeight="1">
      <c r="A14" s="3">
        <v>13</v>
      </c>
      <c r="B14" s="3">
        <v>1</v>
      </c>
      <c r="C14" s="4">
        <v>76</v>
      </c>
      <c r="D14" s="4" t="s">
        <v>34</v>
      </c>
      <c r="E14" s="3"/>
      <c r="F14" s="3"/>
    </row>
    <row r="15" spans="1:6" ht="14.25" customHeight="1">
      <c r="A15" s="3">
        <v>14</v>
      </c>
      <c r="B15" s="3">
        <v>1</v>
      </c>
      <c r="C15" s="4">
        <v>70</v>
      </c>
      <c r="D15" s="4" t="s">
        <v>35</v>
      </c>
      <c r="E15" s="3"/>
      <c r="F15" s="3"/>
    </row>
    <row r="16" spans="1:6" ht="14.25" customHeight="1">
      <c r="A16" s="3">
        <v>15</v>
      </c>
      <c r="B16" s="3">
        <v>0</v>
      </c>
      <c r="C16" s="4">
        <v>85</v>
      </c>
      <c r="D16" s="4" t="s">
        <v>36</v>
      </c>
      <c r="E16" s="3"/>
      <c r="F16" s="3"/>
    </row>
    <row r="17" spans="1:6" ht="14.25" customHeight="1">
      <c r="A17" s="3">
        <v>16</v>
      </c>
      <c r="B17" s="3">
        <v>1</v>
      </c>
      <c r="C17" s="4">
        <v>85</v>
      </c>
      <c r="D17" s="4" t="s">
        <v>37</v>
      </c>
      <c r="E17" s="3"/>
      <c r="F17" s="3"/>
    </row>
    <row r="18" spans="1:6" ht="14.25" customHeight="1">
      <c r="A18" s="3">
        <v>17</v>
      </c>
      <c r="B18" s="3">
        <v>0</v>
      </c>
      <c r="C18" s="4">
        <v>85</v>
      </c>
      <c r="D18" s="4" t="s">
        <v>38</v>
      </c>
      <c r="E18" s="3"/>
      <c r="F18" s="3"/>
    </row>
    <row r="19" spans="1:6" ht="14.25" customHeight="1">
      <c r="A19" s="3">
        <v>18</v>
      </c>
      <c r="B19" s="3">
        <v>1</v>
      </c>
      <c r="C19" s="4">
        <v>73</v>
      </c>
      <c r="D19" s="4" t="s">
        <v>39</v>
      </c>
      <c r="E19" s="3"/>
      <c r="F19" s="3"/>
    </row>
    <row r="20" spans="1:6" ht="14.25" customHeight="1">
      <c r="A20" s="3">
        <v>19</v>
      </c>
      <c r="B20" s="3">
        <v>1</v>
      </c>
      <c r="C20" s="4">
        <v>77</v>
      </c>
      <c r="D20" s="4" t="s">
        <v>40</v>
      </c>
      <c r="E20" s="3"/>
      <c r="F20" s="3"/>
    </row>
    <row r="21" spans="1:6" ht="14.25" customHeight="1">
      <c r="A21" s="3">
        <v>20</v>
      </c>
      <c r="B21" s="3">
        <v>1</v>
      </c>
      <c r="C21" s="4">
        <v>85</v>
      </c>
      <c r="D21" s="4" t="s">
        <v>41</v>
      </c>
      <c r="E21" s="3"/>
      <c r="F21" s="3"/>
    </row>
    <row r="22" spans="1:6" ht="14.25" customHeight="1">
      <c r="A22" s="3">
        <v>21</v>
      </c>
      <c r="B22" s="3">
        <v>1</v>
      </c>
      <c r="C22" s="4">
        <v>70</v>
      </c>
      <c r="D22" s="4" t="s">
        <v>42</v>
      </c>
      <c r="E22" s="3"/>
      <c r="F22" s="3"/>
    </row>
    <row r="23" spans="1:6" ht="14.25" customHeight="1">
      <c r="A23" s="3">
        <v>22</v>
      </c>
      <c r="B23" s="3">
        <v>1</v>
      </c>
      <c r="C23" s="4">
        <v>85</v>
      </c>
      <c r="D23" s="4" t="s">
        <v>43</v>
      </c>
      <c r="E23" s="3"/>
      <c r="F23" s="3"/>
    </row>
    <row r="24" spans="1:6" ht="14.25" customHeight="1">
      <c r="A24" s="3">
        <v>23</v>
      </c>
      <c r="B24" s="3">
        <v>1</v>
      </c>
      <c r="C24" s="4">
        <v>85</v>
      </c>
      <c r="D24" s="4" t="s">
        <v>44</v>
      </c>
      <c r="E24" s="3"/>
      <c r="F24" s="3"/>
    </row>
    <row r="25" spans="1:6" ht="14.25" customHeight="1">
      <c r="A25" s="3">
        <v>24</v>
      </c>
      <c r="B25" s="3">
        <v>1</v>
      </c>
      <c r="C25" s="4">
        <v>85</v>
      </c>
      <c r="D25" s="4" t="s">
        <v>45</v>
      </c>
      <c r="E25" s="3"/>
      <c r="F25" s="3"/>
    </row>
    <row r="26" spans="1:6" ht="14.25" customHeight="1">
      <c r="A26" s="3">
        <v>25</v>
      </c>
      <c r="B26" s="3">
        <v>1</v>
      </c>
      <c r="C26" s="4">
        <v>78</v>
      </c>
      <c r="D26" s="4" t="s">
        <v>46</v>
      </c>
      <c r="E26" s="3"/>
      <c r="F26" s="3"/>
    </row>
    <row r="27" spans="1:6" ht="14.25" customHeight="1">
      <c r="A27" s="3">
        <v>26</v>
      </c>
      <c r="B27" s="3">
        <v>1</v>
      </c>
      <c r="C27" s="4">
        <v>77</v>
      </c>
      <c r="D27" s="4" t="s">
        <v>47</v>
      </c>
      <c r="E27" s="3"/>
      <c r="F27" s="3"/>
    </row>
    <row r="28" spans="1:6" ht="14.25" customHeight="1">
      <c r="A28" s="3">
        <v>27</v>
      </c>
      <c r="B28" s="3">
        <v>1</v>
      </c>
      <c r="C28" s="4">
        <v>76</v>
      </c>
      <c r="D28" s="4" t="s">
        <v>48</v>
      </c>
      <c r="E28" s="3"/>
      <c r="F28" s="3"/>
    </row>
    <row r="29" spans="1:6" ht="14.25" customHeight="1">
      <c r="A29" s="3">
        <v>28</v>
      </c>
      <c r="B29" s="3">
        <v>1</v>
      </c>
      <c r="C29" s="4">
        <v>85</v>
      </c>
      <c r="D29" s="4" t="s">
        <v>49</v>
      </c>
      <c r="E29" s="3"/>
      <c r="F29" s="3"/>
    </row>
    <row r="30" spans="1:6" ht="14.25" customHeight="1">
      <c r="A30" s="3">
        <v>29</v>
      </c>
      <c r="B30" s="3">
        <v>1</v>
      </c>
      <c r="C30" s="4">
        <v>85</v>
      </c>
      <c r="D30" s="4" t="s">
        <v>50</v>
      </c>
      <c r="E30" s="3"/>
      <c r="F30" s="3"/>
    </row>
    <row r="31" spans="1:6" ht="14.25" customHeight="1">
      <c r="A31" s="3">
        <v>30</v>
      </c>
      <c r="B31" s="3">
        <v>0</v>
      </c>
      <c r="C31" s="4">
        <v>85</v>
      </c>
      <c r="D31" s="4" t="s">
        <v>51</v>
      </c>
      <c r="E31" s="3"/>
      <c r="F31" s="3"/>
    </row>
    <row r="32" spans="1:6" ht="14.25" customHeight="1">
      <c r="A32" s="4">
        <v>31</v>
      </c>
      <c r="B32" s="4">
        <v>1</v>
      </c>
      <c r="C32" s="4">
        <v>77</v>
      </c>
      <c r="D32" s="4" t="s">
        <v>52</v>
      </c>
    </row>
    <row r="33" spans="1:4" ht="14.25" customHeight="1">
      <c r="A33" s="4">
        <v>32</v>
      </c>
      <c r="B33" s="4">
        <v>0</v>
      </c>
      <c r="C33" s="4">
        <v>85</v>
      </c>
      <c r="D33" s="4" t="s">
        <v>53</v>
      </c>
    </row>
    <row r="34" spans="1:4" ht="14.25" customHeight="1">
      <c r="A34" s="4">
        <v>33</v>
      </c>
      <c r="B34" s="4">
        <v>0</v>
      </c>
      <c r="C34" s="4">
        <v>85</v>
      </c>
      <c r="D34" s="4" t="s">
        <v>54</v>
      </c>
    </row>
    <row r="35" spans="1:4" ht="14.25" customHeight="1">
      <c r="A35" s="4">
        <v>34</v>
      </c>
      <c r="B35" s="4">
        <v>0</v>
      </c>
      <c r="C35" s="4">
        <v>85</v>
      </c>
      <c r="D35" s="4" t="s">
        <v>55</v>
      </c>
    </row>
    <row r="36" spans="1:4" ht="14.25" customHeight="1">
      <c r="A36" s="4">
        <v>35</v>
      </c>
      <c r="B36" s="4">
        <v>0</v>
      </c>
      <c r="C36" s="4">
        <v>85</v>
      </c>
      <c r="D36" s="4" t="s">
        <v>56</v>
      </c>
    </row>
    <row r="37" spans="1:4" ht="14.25" customHeight="1">
      <c r="A37" s="4">
        <v>36</v>
      </c>
      <c r="B37" s="4">
        <v>0</v>
      </c>
      <c r="C37" s="4">
        <v>85</v>
      </c>
      <c r="D37" s="4" t="s">
        <v>57</v>
      </c>
    </row>
    <row r="38" spans="1:4" ht="14.25" customHeight="1">
      <c r="A38" s="4">
        <v>37</v>
      </c>
      <c r="B38" s="4">
        <v>1</v>
      </c>
      <c r="C38" s="4">
        <v>76</v>
      </c>
      <c r="D38" s="4" t="s">
        <v>58</v>
      </c>
    </row>
    <row r="39" spans="1:4" ht="14.25" customHeight="1">
      <c r="A39" s="4">
        <v>38</v>
      </c>
      <c r="B39" s="4">
        <v>0</v>
      </c>
      <c r="C39" s="4">
        <v>85</v>
      </c>
      <c r="D39" s="4" t="s">
        <v>59</v>
      </c>
    </row>
    <row r="40" spans="1:4" ht="14.25" customHeight="1">
      <c r="A40" s="4">
        <v>39</v>
      </c>
      <c r="B40" s="4">
        <v>1</v>
      </c>
      <c r="C40" s="4">
        <v>77</v>
      </c>
      <c r="D40" s="4" t="s">
        <v>60</v>
      </c>
    </row>
    <row r="41" spans="1:4" ht="14.25" customHeight="1">
      <c r="A41" s="4">
        <v>40</v>
      </c>
      <c r="B41" s="4">
        <v>1</v>
      </c>
      <c r="C41" s="4">
        <v>85</v>
      </c>
      <c r="D41" s="4" t="s">
        <v>61</v>
      </c>
    </row>
    <row r="42" spans="1:4" ht="14.25" customHeight="1">
      <c r="A42" s="4">
        <v>41</v>
      </c>
      <c r="B42" s="4">
        <v>1</v>
      </c>
      <c r="C42" s="4">
        <v>85</v>
      </c>
      <c r="D42" s="4" t="s">
        <v>62</v>
      </c>
    </row>
    <row r="43" spans="1:4" ht="14.25" customHeight="1">
      <c r="A43" s="4">
        <v>42</v>
      </c>
      <c r="B43" s="4">
        <v>0</v>
      </c>
      <c r="C43" s="4">
        <v>85</v>
      </c>
      <c r="D43" s="4" t="s">
        <v>63</v>
      </c>
    </row>
    <row r="44" spans="1:4" ht="14.25" customHeight="1">
      <c r="A44" s="4">
        <v>43</v>
      </c>
      <c r="B44" s="4">
        <v>0</v>
      </c>
      <c r="C44" s="4">
        <v>85</v>
      </c>
      <c r="D44" s="4" t="s">
        <v>64</v>
      </c>
    </row>
    <row r="45" spans="1:4" ht="14.25" customHeight="1">
      <c r="A45" s="4">
        <v>44</v>
      </c>
      <c r="B45" s="4">
        <v>0</v>
      </c>
      <c r="C45" s="4">
        <v>60</v>
      </c>
      <c r="D45" s="4" t="s">
        <v>65</v>
      </c>
    </row>
    <row r="46" spans="1:4" ht="14.25" customHeight="1">
      <c r="A46" s="4">
        <v>45</v>
      </c>
      <c r="B46" s="4">
        <v>0</v>
      </c>
      <c r="C46" s="4">
        <v>65</v>
      </c>
      <c r="D46" s="4" t="s">
        <v>66</v>
      </c>
    </row>
    <row r="47" spans="1:4" ht="14.25" customHeight="1">
      <c r="A47" s="4">
        <v>46</v>
      </c>
      <c r="B47" s="4">
        <v>0</v>
      </c>
      <c r="C47" s="4">
        <v>85</v>
      </c>
      <c r="D47" s="4" t="s">
        <v>67</v>
      </c>
    </row>
    <row r="48" spans="1:4" ht="14.25" customHeight="1">
      <c r="A48" s="4">
        <v>47</v>
      </c>
      <c r="B48" s="4">
        <v>1</v>
      </c>
      <c r="C48" s="4">
        <v>77</v>
      </c>
      <c r="D48" s="4" t="s">
        <v>68</v>
      </c>
    </row>
    <row r="49" spans="1:4" ht="14.25" customHeight="1">
      <c r="A49" s="4">
        <v>48</v>
      </c>
      <c r="B49" s="4">
        <v>0</v>
      </c>
      <c r="C49" s="4">
        <v>60</v>
      </c>
      <c r="D49" s="4" t="s">
        <v>69</v>
      </c>
    </row>
    <row r="50" spans="1:4" ht="14.25" customHeight="1">
      <c r="A50" s="4">
        <v>49</v>
      </c>
      <c r="B50" s="4">
        <v>1</v>
      </c>
      <c r="C50" s="4">
        <v>78</v>
      </c>
      <c r="D50" s="4" t="s">
        <v>70</v>
      </c>
    </row>
    <row r="51" spans="1:4" ht="14.25" customHeight="1">
      <c r="A51" s="4">
        <v>50</v>
      </c>
      <c r="B51" s="4">
        <v>1</v>
      </c>
      <c r="C51" s="4">
        <v>85</v>
      </c>
      <c r="D51" s="4" t="s">
        <v>71</v>
      </c>
    </row>
    <row r="52" spans="1:4" ht="14.25" customHeight="1">
      <c r="A52" s="4">
        <v>51</v>
      </c>
      <c r="B52" s="4">
        <v>1</v>
      </c>
      <c r="C52" s="4">
        <v>77</v>
      </c>
      <c r="D52" s="4" t="s">
        <v>72</v>
      </c>
    </row>
    <row r="53" spans="1:4" ht="14.25" customHeight="1">
      <c r="A53" s="4">
        <v>52</v>
      </c>
      <c r="B53" s="4">
        <v>0</v>
      </c>
      <c r="C53" s="4">
        <v>85</v>
      </c>
      <c r="D53" s="4" t="s">
        <v>73</v>
      </c>
    </row>
    <row r="54" spans="1:4" ht="14.25" customHeight="1">
      <c r="A54" s="4">
        <v>53</v>
      </c>
      <c r="B54" s="4">
        <v>0</v>
      </c>
      <c r="C54" s="4">
        <v>85</v>
      </c>
      <c r="D54" s="4" t="s">
        <v>74</v>
      </c>
    </row>
    <row r="55" spans="1:4" ht="14.25" customHeight="1">
      <c r="A55" s="4">
        <v>54</v>
      </c>
      <c r="B55" s="4">
        <v>0</v>
      </c>
      <c r="C55" s="4">
        <v>60</v>
      </c>
      <c r="D55" s="4" t="s">
        <v>69</v>
      </c>
    </row>
    <row r="56" spans="1:4" ht="14.25" customHeight="1">
      <c r="A56" s="4">
        <v>55</v>
      </c>
      <c r="B56" s="4">
        <v>1</v>
      </c>
      <c r="C56" s="4">
        <v>99</v>
      </c>
      <c r="D56" s="4" t="s">
        <v>75</v>
      </c>
    </row>
    <row r="57" spans="1:4" ht="14.25" customHeight="1">
      <c r="A57" s="4">
        <v>56</v>
      </c>
      <c r="B57" s="4">
        <v>0</v>
      </c>
      <c r="C57" s="4">
        <v>85</v>
      </c>
      <c r="D57" s="4" t="s">
        <v>76</v>
      </c>
    </row>
    <row r="58" spans="1:4" ht="14.25" customHeight="1">
      <c r="A58" s="4">
        <v>57</v>
      </c>
      <c r="B58" s="4">
        <v>1</v>
      </c>
      <c r="C58" s="4">
        <v>76</v>
      </c>
      <c r="D58" s="4" t="s">
        <v>77</v>
      </c>
    </row>
    <row r="59" spans="1:4" ht="14.25" customHeight="1">
      <c r="A59" s="4">
        <v>58</v>
      </c>
      <c r="B59" s="4">
        <v>1</v>
      </c>
      <c r="C59" s="4">
        <v>81</v>
      </c>
      <c r="D59" s="4" t="s">
        <v>78</v>
      </c>
    </row>
    <row r="60" spans="1:4" ht="14.25" customHeight="1">
      <c r="A60" s="4">
        <v>59</v>
      </c>
      <c r="B60" s="4">
        <v>1</v>
      </c>
      <c r="C60" s="4">
        <v>85</v>
      </c>
      <c r="D60" s="4" t="s">
        <v>79</v>
      </c>
    </row>
    <row r="61" spans="1:4" ht="14.25" customHeight="1">
      <c r="A61" s="4">
        <v>60</v>
      </c>
      <c r="B61" s="4">
        <v>1</v>
      </c>
      <c r="C61" s="4">
        <v>85</v>
      </c>
      <c r="D61" s="4" t="s">
        <v>80</v>
      </c>
    </row>
    <row r="62" spans="1:4" ht="14.25" customHeight="1">
      <c r="A62" s="4">
        <v>61</v>
      </c>
      <c r="B62" s="4">
        <v>1</v>
      </c>
      <c r="C62" s="4">
        <v>85</v>
      </c>
      <c r="D62" s="4" t="s">
        <v>81</v>
      </c>
    </row>
    <row r="63" spans="1:4" ht="14.25" customHeight="1">
      <c r="A63" s="4">
        <v>62</v>
      </c>
      <c r="B63" s="4">
        <v>0</v>
      </c>
      <c r="C63" s="4">
        <v>85</v>
      </c>
      <c r="D63" s="4" t="s">
        <v>28</v>
      </c>
    </row>
    <row r="64" spans="1:4" ht="14.25" customHeight="1">
      <c r="A64" s="4">
        <v>63</v>
      </c>
      <c r="B64" s="4">
        <v>1</v>
      </c>
      <c r="C64" s="4">
        <v>85</v>
      </c>
      <c r="D64" s="4" t="s">
        <v>82</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1000"/>
  <sheetViews>
    <sheetView workbookViewId="0">
      <selection activeCell="B1" sqref="B1"/>
    </sheetView>
  </sheetViews>
  <sheetFormatPr defaultColWidth="12.6640625" defaultRowHeight="15" customHeight="1"/>
  <cols>
    <col min="1" max="26" width="8.6640625" customWidth="1"/>
  </cols>
  <sheetData>
    <row r="1" spans="1:6" ht="14.25" customHeight="1">
      <c r="A1" s="6" t="s">
        <v>0</v>
      </c>
      <c r="B1" s="6" t="s">
        <v>19</v>
      </c>
      <c r="C1" s="4" t="s">
        <v>20</v>
      </c>
      <c r="D1" s="4" t="s">
        <v>21</v>
      </c>
      <c r="E1" s="6"/>
      <c r="F1" s="6"/>
    </row>
    <row r="2" spans="1:6" ht="14.25" customHeight="1">
      <c r="A2" s="3">
        <v>1</v>
      </c>
      <c r="B2" s="3">
        <v>1</v>
      </c>
      <c r="C2" s="4">
        <v>78</v>
      </c>
      <c r="D2" s="4" t="s">
        <v>300</v>
      </c>
      <c r="E2" s="1"/>
      <c r="F2" s="3"/>
    </row>
    <row r="3" spans="1:6" ht="14.25" customHeight="1">
      <c r="A3" s="3">
        <v>2</v>
      </c>
      <c r="B3" s="3">
        <v>0</v>
      </c>
      <c r="C3" s="4">
        <v>85</v>
      </c>
      <c r="D3" s="4" t="s">
        <v>301</v>
      </c>
      <c r="E3" s="1"/>
      <c r="F3" s="3"/>
    </row>
    <row r="4" spans="1:6" ht="14.25" customHeight="1">
      <c r="A4" s="3">
        <v>3</v>
      </c>
      <c r="B4" s="3">
        <v>1</v>
      </c>
      <c r="C4" s="4">
        <v>99</v>
      </c>
      <c r="D4" s="4" t="s">
        <v>302</v>
      </c>
      <c r="E4" s="1"/>
      <c r="F4" s="3"/>
    </row>
    <row r="5" spans="1:6" ht="14.25" customHeight="1">
      <c r="A5" s="3">
        <v>4</v>
      </c>
      <c r="B5" s="3">
        <v>0</v>
      </c>
      <c r="C5" s="4">
        <v>85</v>
      </c>
      <c r="D5" s="4" t="s">
        <v>303</v>
      </c>
      <c r="E5" s="1"/>
      <c r="F5" s="3"/>
    </row>
    <row r="6" spans="1:6" ht="14.25" customHeight="1">
      <c r="A6" s="3">
        <v>5</v>
      </c>
      <c r="B6" s="3">
        <v>1</v>
      </c>
      <c r="C6" s="4">
        <v>99</v>
      </c>
      <c r="D6" s="4" t="s">
        <v>304</v>
      </c>
      <c r="E6" s="1"/>
      <c r="F6" s="3"/>
    </row>
    <row r="7" spans="1:6" ht="14.25" customHeight="1">
      <c r="A7" s="3">
        <v>6</v>
      </c>
      <c r="B7" s="3">
        <v>1</v>
      </c>
      <c r="C7" s="4">
        <v>80</v>
      </c>
      <c r="D7" s="4" t="s">
        <v>305</v>
      </c>
      <c r="E7" s="1"/>
      <c r="F7" s="3"/>
    </row>
    <row r="8" spans="1:6" ht="14.25" customHeight="1">
      <c r="A8" s="3">
        <v>7</v>
      </c>
      <c r="B8" s="3">
        <v>0</v>
      </c>
      <c r="C8" s="4">
        <v>85</v>
      </c>
      <c r="D8" s="4" t="s">
        <v>306</v>
      </c>
      <c r="E8" s="1"/>
      <c r="F8" s="3"/>
    </row>
    <row r="9" spans="1:6" ht="14.25" customHeight="1">
      <c r="A9" s="3">
        <v>8</v>
      </c>
      <c r="B9" s="3">
        <v>0</v>
      </c>
      <c r="C9" s="4">
        <v>85</v>
      </c>
      <c r="D9" s="4" t="s">
        <v>307</v>
      </c>
      <c r="E9" s="1"/>
      <c r="F9" s="3"/>
    </row>
    <row r="10" spans="1:6" ht="14.25" customHeight="1">
      <c r="A10" s="3">
        <v>9</v>
      </c>
      <c r="B10" s="3">
        <v>1</v>
      </c>
      <c r="C10" s="4">
        <v>79</v>
      </c>
      <c r="D10" s="4" t="s">
        <v>308</v>
      </c>
      <c r="E10" s="1"/>
      <c r="F10" s="3"/>
    </row>
    <row r="11" spans="1:6" ht="14.25" customHeight="1">
      <c r="A11" s="3">
        <v>10</v>
      </c>
      <c r="B11" s="3">
        <v>1</v>
      </c>
      <c r="C11" s="4">
        <v>75</v>
      </c>
      <c r="D11" s="4" t="s">
        <v>309</v>
      </c>
      <c r="E11" s="1"/>
      <c r="F11" s="3"/>
    </row>
    <row r="12" spans="1:6" ht="14.25" customHeight="1">
      <c r="A12" s="3">
        <v>11</v>
      </c>
      <c r="B12" s="3">
        <v>1</v>
      </c>
      <c r="C12" s="4">
        <v>75</v>
      </c>
      <c r="D12" s="4" t="s">
        <v>310</v>
      </c>
      <c r="E12" s="1"/>
      <c r="F12" s="3"/>
    </row>
    <row r="13" spans="1:6" ht="14.25" customHeight="1">
      <c r="A13" s="3">
        <v>12</v>
      </c>
      <c r="B13" s="3">
        <v>0</v>
      </c>
      <c r="C13" s="4">
        <v>85</v>
      </c>
      <c r="D13" s="4" t="s">
        <v>311</v>
      </c>
      <c r="E13" s="1"/>
      <c r="F13" s="3"/>
    </row>
    <row r="14" spans="1:6" ht="14.25" customHeight="1">
      <c r="A14" s="3">
        <v>13</v>
      </c>
      <c r="B14" s="3">
        <v>1</v>
      </c>
      <c r="C14" s="4">
        <v>91</v>
      </c>
      <c r="D14" s="4" t="s">
        <v>312</v>
      </c>
      <c r="E14" s="1"/>
      <c r="F14" s="3"/>
    </row>
    <row r="15" spans="1:6" ht="14.25" customHeight="1">
      <c r="A15" s="3">
        <v>14</v>
      </c>
      <c r="B15" s="3">
        <v>1</v>
      </c>
      <c r="C15" s="4">
        <v>75</v>
      </c>
      <c r="D15" s="4" t="s">
        <v>313</v>
      </c>
      <c r="E15" s="1"/>
      <c r="F15" s="3"/>
    </row>
    <row r="16" spans="1:6" ht="14.25" customHeight="1">
      <c r="A16" s="3">
        <v>15</v>
      </c>
      <c r="B16" s="3">
        <v>0</v>
      </c>
      <c r="C16" s="4">
        <v>85</v>
      </c>
      <c r="D16" s="4" t="s">
        <v>314</v>
      </c>
      <c r="E16" s="1"/>
      <c r="F16" s="3"/>
    </row>
    <row r="17" spans="1:6" ht="14.25" customHeight="1">
      <c r="A17" s="3">
        <v>16</v>
      </c>
      <c r="B17" s="3">
        <v>1</v>
      </c>
      <c r="C17" s="4">
        <v>73</v>
      </c>
      <c r="D17" s="4" t="s">
        <v>315</v>
      </c>
      <c r="E17" s="1"/>
      <c r="F17" s="3"/>
    </row>
    <row r="18" spans="1:6" ht="14.25" customHeight="1">
      <c r="A18" s="3">
        <v>17</v>
      </c>
      <c r="B18" s="3">
        <v>0</v>
      </c>
      <c r="C18" s="4">
        <v>85</v>
      </c>
      <c r="D18" s="4" t="s">
        <v>316</v>
      </c>
      <c r="E18" s="1"/>
      <c r="F18" s="3"/>
    </row>
    <row r="19" spans="1:6" ht="14.25" customHeight="1">
      <c r="A19" s="3">
        <v>18</v>
      </c>
      <c r="B19" s="3">
        <v>1</v>
      </c>
      <c r="C19" s="4">
        <v>80</v>
      </c>
      <c r="D19" s="4" t="s">
        <v>317</v>
      </c>
      <c r="E19" s="1"/>
      <c r="F19" s="3"/>
    </row>
    <row r="20" spans="1:6" ht="14.25" customHeight="1">
      <c r="A20" s="3">
        <v>19</v>
      </c>
      <c r="B20" s="3">
        <v>1</v>
      </c>
      <c r="C20" s="4">
        <v>96</v>
      </c>
      <c r="D20" s="4" t="s">
        <v>318</v>
      </c>
      <c r="E20" s="1"/>
      <c r="F20" s="3"/>
    </row>
    <row r="21" spans="1:6" ht="14.25" customHeight="1">
      <c r="A21" s="3">
        <v>20</v>
      </c>
      <c r="B21" s="3">
        <v>1</v>
      </c>
      <c r="C21" s="4">
        <v>76</v>
      </c>
      <c r="D21" s="4" t="s">
        <v>319</v>
      </c>
      <c r="E21" s="1"/>
      <c r="F21" s="3"/>
    </row>
    <row r="22" spans="1:6" ht="14.25" customHeight="1">
      <c r="A22" s="3">
        <v>21</v>
      </c>
      <c r="B22" s="3">
        <v>1</v>
      </c>
      <c r="C22" s="4">
        <v>75</v>
      </c>
      <c r="D22" s="4" t="s">
        <v>320</v>
      </c>
      <c r="E22" s="1"/>
      <c r="F22" s="3"/>
    </row>
    <row r="23" spans="1:6" ht="14.25" customHeight="1">
      <c r="A23" s="3">
        <v>22</v>
      </c>
      <c r="B23" s="3">
        <v>1</v>
      </c>
      <c r="C23" s="4">
        <v>73</v>
      </c>
      <c r="D23" s="4" t="s">
        <v>321</v>
      </c>
      <c r="E23" s="1"/>
      <c r="F23" s="3"/>
    </row>
    <row r="24" spans="1:6" ht="14.25" customHeight="1">
      <c r="A24" s="3">
        <v>23</v>
      </c>
      <c r="B24" s="3">
        <v>1</v>
      </c>
      <c r="C24" s="4">
        <v>72</v>
      </c>
      <c r="D24" s="4" t="s">
        <v>322</v>
      </c>
      <c r="E24" s="1"/>
      <c r="F24" s="3"/>
    </row>
    <row r="25" spans="1:6" ht="14.25" customHeight="1">
      <c r="A25" s="3">
        <v>24</v>
      </c>
      <c r="B25" s="3">
        <v>1</v>
      </c>
      <c r="C25" s="4">
        <v>74</v>
      </c>
      <c r="D25" s="4" t="s">
        <v>323</v>
      </c>
      <c r="E25" s="1"/>
      <c r="F25" s="3"/>
    </row>
    <row r="26" spans="1:6" ht="14.25" customHeight="1">
      <c r="A26" s="3">
        <v>25</v>
      </c>
      <c r="B26" s="3">
        <v>1</v>
      </c>
      <c r="C26" s="4">
        <v>99</v>
      </c>
      <c r="D26" s="4" t="s">
        <v>324</v>
      </c>
      <c r="E26" s="1"/>
      <c r="F26" s="3"/>
    </row>
    <row r="27" spans="1:6" ht="14.25" customHeight="1">
      <c r="A27" s="3">
        <v>26</v>
      </c>
      <c r="B27" s="3">
        <v>1</v>
      </c>
      <c r="C27" s="4">
        <v>83</v>
      </c>
      <c r="D27" s="4" t="s">
        <v>325</v>
      </c>
      <c r="E27" s="1"/>
      <c r="F27" s="3"/>
    </row>
    <row r="28" spans="1:6" ht="14.25" customHeight="1">
      <c r="A28" s="3">
        <v>27</v>
      </c>
      <c r="B28" s="3">
        <v>1</v>
      </c>
      <c r="C28" s="4">
        <v>80</v>
      </c>
      <c r="D28" s="4" t="s">
        <v>326</v>
      </c>
      <c r="E28" s="1"/>
      <c r="F28" s="3"/>
    </row>
    <row r="29" spans="1:6" ht="14.25" customHeight="1">
      <c r="A29" s="3">
        <v>28</v>
      </c>
      <c r="B29" s="3">
        <v>1</v>
      </c>
      <c r="C29" s="4">
        <v>73</v>
      </c>
      <c r="D29" s="4" t="s">
        <v>327</v>
      </c>
      <c r="E29" s="1"/>
      <c r="F29" s="3"/>
    </row>
    <row r="30" spans="1:6" ht="14.25" customHeight="1">
      <c r="A30" s="3">
        <v>29</v>
      </c>
      <c r="B30" s="3">
        <v>1</v>
      </c>
      <c r="C30" s="4">
        <v>72</v>
      </c>
      <c r="D30" s="4" t="s">
        <v>328</v>
      </c>
      <c r="E30" s="1"/>
      <c r="F30" s="3"/>
    </row>
    <row r="31" spans="1:6" ht="14.25" customHeight="1">
      <c r="A31" s="3">
        <v>30</v>
      </c>
      <c r="B31" s="3">
        <v>0</v>
      </c>
      <c r="C31" s="4">
        <v>85</v>
      </c>
      <c r="D31" s="4" t="s">
        <v>329</v>
      </c>
      <c r="E31" s="1"/>
      <c r="F31" s="3"/>
    </row>
    <row r="32" spans="1:6" ht="14.25" customHeight="1">
      <c r="A32" s="4">
        <v>31</v>
      </c>
      <c r="B32" s="4">
        <v>1</v>
      </c>
      <c r="C32" s="4">
        <v>99</v>
      </c>
      <c r="D32" s="4" t="s">
        <v>330</v>
      </c>
    </row>
    <row r="33" spans="1:4" ht="14.25" customHeight="1">
      <c r="A33" s="4">
        <v>32</v>
      </c>
      <c r="B33" s="4">
        <v>0</v>
      </c>
      <c r="C33" s="4">
        <v>85</v>
      </c>
      <c r="D33" s="4" t="s">
        <v>331</v>
      </c>
    </row>
    <row r="34" spans="1:4" ht="14.25" customHeight="1">
      <c r="A34" s="4">
        <v>33</v>
      </c>
      <c r="B34" s="4">
        <v>0</v>
      </c>
      <c r="C34" s="4">
        <v>85</v>
      </c>
      <c r="D34" s="4" t="s">
        <v>332</v>
      </c>
    </row>
    <row r="35" spans="1:4" ht="14.25" customHeight="1">
      <c r="A35" s="4">
        <v>34</v>
      </c>
      <c r="B35" s="4">
        <v>0</v>
      </c>
      <c r="C35" s="4">
        <v>85</v>
      </c>
      <c r="D35" s="4" t="s">
        <v>333</v>
      </c>
    </row>
    <row r="36" spans="1:4" ht="14.25" customHeight="1">
      <c r="A36" s="4">
        <v>35</v>
      </c>
      <c r="B36" s="4">
        <v>0</v>
      </c>
      <c r="C36" s="4">
        <v>85</v>
      </c>
      <c r="D36" s="4" t="s">
        <v>334</v>
      </c>
    </row>
    <row r="37" spans="1:4" ht="14.25" customHeight="1">
      <c r="A37" s="4">
        <v>36</v>
      </c>
      <c r="B37" s="4">
        <v>0</v>
      </c>
      <c r="C37" s="4">
        <v>85</v>
      </c>
      <c r="D37" s="4" t="s">
        <v>335</v>
      </c>
    </row>
    <row r="38" spans="1:4" ht="14.25" customHeight="1">
      <c r="A38" s="4">
        <v>37</v>
      </c>
      <c r="B38" s="4">
        <v>1</v>
      </c>
      <c r="C38" s="4">
        <v>82</v>
      </c>
      <c r="D38" s="4" t="s">
        <v>336</v>
      </c>
    </row>
    <row r="39" spans="1:4" ht="14.25" customHeight="1">
      <c r="A39" s="4">
        <v>38</v>
      </c>
      <c r="B39" s="4">
        <v>0</v>
      </c>
      <c r="C39" s="4">
        <v>85</v>
      </c>
      <c r="D39" s="4" t="s">
        <v>337</v>
      </c>
    </row>
    <row r="40" spans="1:4" ht="14.25" customHeight="1">
      <c r="A40" s="4">
        <v>39</v>
      </c>
      <c r="B40" s="4">
        <v>1</v>
      </c>
      <c r="C40" s="4">
        <v>99</v>
      </c>
      <c r="D40" s="4" t="s">
        <v>338</v>
      </c>
    </row>
    <row r="41" spans="1:4" ht="14.25" customHeight="1">
      <c r="A41" s="4">
        <v>40</v>
      </c>
      <c r="B41" s="4">
        <v>1</v>
      </c>
      <c r="C41" s="4">
        <v>76</v>
      </c>
      <c r="D41" s="4" t="s">
        <v>339</v>
      </c>
    </row>
    <row r="42" spans="1:4" ht="14.25" customHeight="1">
      <c r="A42" s="4">
        <v>41</v>
      </c>
      <c r="B42" s="4">
        <v>1</v>
      </c>
      <c r="C42" s="4">
        <v>73</v>
      </c>
      <c r="D42" s="4" t="s">
        <v>340</v>
      </c>
    </row>
    <row r="43" spans="1:4" ht="14.25" customHeight="1">
      <c r="A43" s="4">
        <v>42</v>
      </c>
      <c r="B43" s="4">
        <v>0</v>
      </c>
      <c r="C43" s="4">
        <v>85</v>
      </c>
      <c r="D43" s="4" t="s">
        <v>341</v>
      </c>
    </row>
    <row r="44" spans="1:4" ht="14.25" customHeight="1">
      <c r="A44" s="4">
        <v>43</v>
      </c>
      <c r="B44" s="4">
        <v>0</v>
      </c>
      <c r="C44" s="4">
        <v>85</v>
      </c>
      <c r="D44" s="4" t="s">
        <v>342</v>
      </c>
    </row>
    <row r="45" spans="1:4" ht="14.25" customHeight="1">
      <c r="A45" s="4">
        <v>44</v>
      </c>
      <c r="B45" s="4">
        <v>0</v>
      </c>
      <c r="C45" s="4">
        <v>85</v>
      </c>
      <c r="D45" s="4" t="s">
        <v>311</v>
      </c>
    </row>
    <row r="46" spans="1:4" ht="14.25" customHeight="1">
      <c r="A46" s="4">
        <v>45</v>
      </c>
      <c r="B46" s="4">
        <v>1</v>
      </c>
      <c r="C46" s="4">
        <v>75</v>
      </c>
      <c r="D46" s="4" t="s">
        <v>343</v>
      </c>
    </row>
    <row r="47" spans="1:4" ht="14.25" customHeight="1">
      <c r="A47" s="4">
        <v>46</v>
      </c>
      <c r="B47" s="4">
        <v>0</v>
      </c>
      <c r="C47" s="4">
        <v>85</v>
      </c>
      <c r="D47" s="4" t="s">
        <v>344</v>
      </c>
    </row>
    <row r="48" spans="1:4" ht="14.25" customHeight="1">
      <c r="A48" s="4">
        <v>47</v>
      </c>
      <c r="B48" s="4">
        <v>1</v>
      </c>
      <c r="C48" s="4">
        <v>99</v>
      </c>
      <c r="D48" s="4" t="s">
        <v>345</v>
      </c>
    </row>
    <row r="49" spans="1:4" ht="14.25" customHeight="1">
      <c r="A49" s="4">
        <v>48</v>
      </c>
      <c r="B49" s="4">
        <v>0</v>
      </c>
      <c r="C49" s="4">
        <v>85</v>
      </c>
      <c r="D49" s="4" t="s">
        <v>301</v>
      </c>
    </row>
    <row r="50" spans="1:4" ht="14.25" customHeight="1">
      <c r="A50" s="4">
        <v>49</v>
      </c>
      <c r="B50" s="4">
        <v>1</v>
      </c>
      <c r="C50" s="4">
        <v>99</v>
      </c>
      <c r="D50" s="4" t="s">
        <v>346</v>
      </c>
    </row>
    <row r="51" spans="1:4" ht="14.25" customHeight="1">
      <c r="A51" s="4">
        <v>50</v>
      </c>
      <c r="B51" s="4">
        <v>1</v>
      </c>
      <c r="C51" s="4">
        <v>72</v>
      </c>
      <c r="D51" s="4" t="s">
        <v>347</v>
      </c>
    </row>
    <row r="52" spans="1:4" ht="14.25" customHeight="1">
      <c r="A52" s="4">
        <v>51</v>
      </c>
      <c r="B52" s="4">
        <v>1</v>
      </c>
      <c r="C52" s="4">
        <v>82</v>
      </c>
      <c r="D52" s="4" t="s">
        <v>348</v>
      </c>
    </row>
    <row r="53" spans="1:4" ht="14.25" customHeight="1">
      <c r="A53" s="4">
        <v>52</v>
      </c>
      <c r="B53" s="4">
        <v>0</v>
      </c>
      <c r="C53" s="4">
        <v>85</v>
      </c>
      <c r="D53" s="4" t="s">
        <v>349</v>
      </c>
    </row>
    <row r="54" spans="1:4" ht="14.25" customHeight="1">
      <c r="A54" s="4">
        <v>53</v>
      </c>
      <c r="B54" s="4">
        <v>0</v>
      </c>
      <c r="C54" s="4">
        <v>85</v>
      </c>
      <c r="D54" s="4" t="s">
        <v>350</v>
      </c>
    </row>
    <row r="55" spans="1:4" ht="14.25" customHeight="1">
      <c r="A55" s="4">
        <v>54</v>
      </c>
      <c r="B55" s="4">
        <v>0</v>
      </c>
      <c r="C55" s="4">
        <v>85</v>
      </c>
      <c r="D55" s="4" t="s">
        <v>301</v>
      </c>
    </row>
    <row r="56" spans="1:4" ht="14.25" customHeight="1">
      <c r="A56" s="4">
        <v>55</v>
      </c>
      <c r="B56" s="4">
        <v>1</v>
      </c>
      <c r="C56" s="4">
        <v>99</v>
      </c>
      <c r="D56" s="4" t="s">
        <v>351</v>
      </c>
    </row>
    <row r="57" spans="1:4" ht="14.25" customHeight="1">
      <c r="A57" s="4">
        <v>56</v>
      </c>
      <c r="B57" s="4">
        <v>0</v>
      </c>
      <c r="C57" s="4">
        <v>85</v>
      </c>
      <c r="D57" s="4" t="s">
        <v>352</v>
      </c>
    </row>
    <row r="58" spans="1:4" ht="14.25" customHeight="1">
      <c r="A58" s="4">
        <v>57</v>
      </c>
      <c r="B58" s="4">
        <v>1</v>
      </c>
      <c r="C58" s="4">
        <v>82</v>
      </c>
      <c r="D58" s="4" t="s">
        <v>353</v>
      </c>
    </row>
    <row r="59" spans="1:4" ht="14.25" customHeight="1">
      <c r="A59" s="4">
        <v>58</v>
      </c>
      <c r="B59" s="4">
        <v>1</v>
      </c>
      <c r="C59" s="4">
        <v>99</v>
      </c>
      <c r="D59" s="4" t="s">
        <v>354</v>
      </c>
    </row>
    <row r="60" spans="1:4" ht="14.25" customHeight="1">
      <c r="A60" s="4">
        <v>59</v>
      </c>
      <c r="B60" s="4">
        <v>1</v>
      </c>
      <c r="C60" s="4">
        <v>75</v>
      </c>
      <c r="D60" s="4" t="s">
        <v>355</v>
      </c>
    </row>
    <row r="61" spans="1:4" ht="14.25" customHeight="1">
      <c r="A61" s="4">
        <v>60</v>
      </c>
      <c r="B61" s="4">
        <v>1</v>
      </c>
      <c r="C61" s="4">
        <v>75</v>
      </c>
      <c r="D61" s="4" t="s">
        <v>356</v>
      </c>
    </row>
    <row r="62" spans="1:4" ht="14.25" customHeight="1">
      <c r="A62" s="4">
        <v>61</v>
      </c>
      <c r="B62" s="4">
        <v>1</v>
      </c>
      <c r="C62" s="4">
        <v>73</v>
      </c>
      <c r="D62" s="4" t="s">
        <v>357</v>
      </c>
    </row>
    <row r="63" spans="1:4" ht="14.25" customHeight="1">
      <c r="A63" s="4">
        <v>62</v>
      </c>
      <c r="B63" s="4">
        <v>0</v>
      </c>
      <c r="C63" s="4">
        <v>85</v>
      </c>
      <c r="D63" s="4" t="s">
        <v>306</v>
      </c>
    </row>
    <row r="64" spans="1:4" ht="14.25" customHeight="1">
      <c r="A64" s="4">
        <v>63</v>
      </c>
      <c r="B64" s="4">
        <v>1</v>
      </c>
      <c r="C64" s="4">
        <v>72</v>
      </c>
      <c r="D64" s="4" t="s">
        <v>358</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00"/>
  <sheetViews>
    <sheetView workbookViewId="0"/>
  </sheetViews>
  <sheetFormatPr defaultColWidth="12.6640625" defaultRowHeight="15" customHeight="1"/>
  <cols>
    <col min="1" max="26" width="8.6640625" customWidth="1"/>
  </cols>
  <sheetData>
    <row r="1" spans="1:6" ht="14.25" customHeight="1">
      <c r="A1" s="6" t="s">
        <v>0</v>
      </c>
      <c r="B1" s="6" t="s">
        <v>19</v>
      </c>
      <c r="C1" s="4" t="s">
        <v>20</v>
      </c>
      <c r="D1" s="4" t="s">
        <v>21</v>
      </c>
      <c r="E1" s="6"/>
      <c r="F1" s="6"/>
    </row>
    <row r="2" spans="1:6" ht="14.25" customHeight="1">
      <c r="A2" s="3">
        <v>1</v>
      </c>
      <c r="B2" s="3">
        <v>1</v>
      </c>
      <c r="C2" s="4">
        <v>75</v>
      </c>
      <c r="D2" s="4" t="s">
        <v>359</v>
      </c>
      <c r="E2" s="3"/>
      <c r="F2" s="3"/>
    </row>
    <row r="3" spans="1:6" ht="14.25" customHeight="1">
      <c r="A3" s="3">
        <v>2</v>
      </c>
      <c r="B3" s="3">
        <v>0</v>
      </c>
      <c r="C3" s="4">
        <v>80</v>
      </c>
      <c r="D3" s="4" t="s">
        <v>360</v>
      </c>
      <c r="E3" s="3"/>
      <c r="F3" s="3"/>
    </row>
    <row r="4" spans="1:6" ht="14.25" customHeight="1">
      <c r="A4" s="3">
        <v>3</v>
      </c>
      <c r="B4" s="3">
        <v>1</v>
      </c>
      <c r="C4" s="4">
        <v>95</v>
      </c>
      <c r="D4" s="4" t="s">
        <v>361</v>
      </c>
      <c r="E4" s="3"/>
      <c r="F4" s="3"/>
    </row>
    <row r="5" spans="1:6" ht="14.25" customHeight="1">
      <c r="A5" s="3">
        <v>4</v>
      </c>
      <c r="B5" s="3">
        <v>0</v>
      </c>
      <c r="C5" s="4">
        <v>80</v>
      </c>
      <c r="D5" s="4" t="s">
        <v>362</v>
      </c>
      <c r="E5" s="3"/>
      <c r="F5" s="3"/>
    </row>
    <row r="6" spans="1:6" ht="14.25" customHeight="1">
      <c r="A6" s="3">
        <v>5</v>
      </c>
      <c r="B6" s="3">
        <v>1</v>
      </c>
      <c r="C6" s="4">
        <v>95</v>
      </c>
      <c r="D6" s="4" t="s">
        <v>363</v>
      </c>
      <c r="E6" s="3"/>
      <c r="F6" s="3"/>
    </row>
    <row r="7" spans="1:6" ht="14.25" customHeight="1">
      <c r="A7" s="3">
        <v>6</v>
      </c>
      <c r="B7" s="3">
        <v>1</v>
      </c>
      <c r="C7" s="4">
        <v>85</v>
      </c>
      <c r="D7" s="4" t="s">
        <v>364</v>
      </c>
      <c r="E7" s="3"/>
      <c r="F7" s="3"/>
    </row>
    <row r="8" spans="1:6" ht="14.25" customHeight="1">
      <c r="A8" s="3">
        <v>7</v>
      </c>
      <c r="B8" s="3">
        <v>0</v>
      </c>
      <c r="C8" s="4">
        <v>80</v>
      </c>
      <c r="D8" s="4" t="s">
        <v>365</v>
      </c>
      <c r="E8" s="3"/>
      <c r="F8" s="3"/>
    </row>
    <row r="9" spans="1:6" ht="14.25" customHeight="1">
      <c r="A9" s="3">
        <v>8</v>
      </c>
      <c r="B9" s="3">
        <v>0</v>
      </c>
      <c r="C9" s="4">
        <v>80</v>
      </c>
      <c r="D9" s="4" t="s">
        <v>366</v>
      </c>
      <c r="E9" s="3"/>
      <c r="F9" s="3"/>
    </row>
    <row r="10" spans="1:6" ht="14.25" customHeight="1">
      <c r="A10" s="3">
        <v>9</v>
      </c>
      <c r="B10" s="3">
        <v>1</v>
      </c>
      <c r="C10" s="4">
        <v>70</v>
      </c>
      <c r="D10" s="4" t="s">
        <v>367</v>
      </c>
      <c r="E10" s="3"/>
      <c r="F10" s="3"/>
    </row>
    <row r="11" spans="1:6" ht="14.25" customHeight="1">
      <c r="A11" s="3">
        <v>10</v>
      </c>
      <c r="B11" s="3">
        <v>0</v>
      </c>
      <c r="C11" s="4">
        <v>65</v>
      </c>
      <c r="D11" s="4" t="s">
        <v>368</v>
      </c>
      <c r="E11" s="3"/>
      <c r="F11" s="3"/>
    </row>
    <row r="12" spans="1:6" ht="14.25" customHeight="1">
      <c r="A12" s="3">
        <v>11</v>
      </c>
      <c r="B12" s="3">
        <v>0</v>
      </c>
      <c r="C12" s="4">
        <v>65</v>
      </c>
      <c r="D12" s="4" t="s">
        <v>369</v>
      </c>
      <c r="E12" s="3"/>
      <c r="F12" s="3"/>
    </row>
    <row r="13" spans="1:6" ht="14.25" customHeight="1">
      <c r="A13" s="3">
        <v>12</v>
      </c>
      <c r="B13" s="3">
        <v>0</v>
      </c>
      <c r="C13" s="4">
        <v>80</v>
      </c>
      <c r="D13" s="4" t="s">
        <v>370</v>
      </c>
      <c r="E13" s="3"/>
      <c r="F13" s="3"/>
    </row>
    <row r="14" spans="1:6" ht="14.25" customHeight="1">
      <c r="A14" s="3">
        <v>13</v>
      </c>
      <c r="B14" s="3">
        <v>1</v>
      </c>
      <c r="C14" s="4">
        <v>95</v>
      </c>
      <c r="D14" s="4" t="s">
        <v>371</v>
      </c>
      <c r="E14" s="3"/>
      <c r="F14" s="3"/>
    </row>
    <row r="15" spans="1:6" ht="14.25" customHeight="1">
      <c r="A15" s="3">
        <v>14</v>
      </c>
      <c r="B15" s="3">
        <v>1</v>
      </c>
      <c r="C15" s="4">
        <v>60</v>
      </c>
      <c r="D15" s="4" t="s">
        <v>372</v>
      </c>
      <c r="E15" s="3"/>
      <c r="F15" s="3"/>
    </row>
    <row r="16" spans="1:6" ht="14.25" customHeight="1">
      <c r="A16" s="3">
        <v>15</v>
      </c>
      <c r="B16" s="3">
        <v>0</v>
      </c>
      <c r="C16" s="4">
        <v>80</v>
      </c>
      <c r="D16" s="4" t="s">
        <v>373</v>
      </c>
      <c r="E16" s="3"/>
      <c r="F16" s="3"/>
    </row>
    <row r="17" spans="1:6" ht="14.25" customHeight="1">
      <c r="A17" s="3">
        <v>16</v>
      </c>
      <c r="B17" s="3">
        <v>1</v>
      </c>
      <c r="C17" s="4">
        <v>75</v>
      </c>
      <c r="D17" s="4" t="s">
        <v>374</v>
      </c>
      <c r="E17" s="3"/>
      <c r="F17" s="3"/>
    </row>
    <row r="18" spans="1:6" ht="14.25" customHeight="1">
      <c r="A18" s="3">
        <v>17</v>
      </c>
      <c r="B18" s="3">
        <v>0</v>
      </c>
      <c r="C18" s="4">
        <v>90</v>
      </c>
      <c r="D18" s="4" t="s">
        <v>375</v>
      </c>
      <c r="E18" s="3"/>
      <c r="F18" s="3"/>
    </row>
    <row r="19" spans="1:6" ht="14.25" customHeight="1">
      <c r="A19" s="3">
        <v>18</v>
      </c>
      <c r="B19" s="3">
        <v>1</v>
      </c>
      <c r="C19" s="4">
        <v>85</v>
      </c>
      <c r="D19" s="4" t="s">
        <v>376</v>
      </c>
      <c r="E19" s="3"/>
      <c r="F19" s="3"/>
    </row>
    <row r="20" spans="1:6" ht="14.25" customHeight="1">
      <c r="A20" s="3">
        <v>19</v>
      </c>
      <c r="B20" s="3">
        <v>1</v>
      </c>
      <c r="C20" s="4">
        <v>95</v>
      </c>
      <c r="D20" s="4" t="s">
        <v>377</v>
      </c>
      <c r="E20" s="3"/>
      <c r="F20" s="3"/>
    </row>
    <row r="21" spans="1:6" ht="14.25" customHeight="1">
      <c r="A21" s="3">
        <v>20</v>
      </c>
      <c r="B21" s="3">
        <v>1</v>
      </c>
      <c r="C21" s="4">
        <v>75</v>
      </c>
      <c r="D21" s="4" t="s">
        <v>378</v>
      </c>
      <c r="E21" s="3"/>
      <c r="F21" s="3"/>
    </row>
    <row r="22" spans="1:6" ht="14.25" customHeight="1">
      <c r="A22" s="3">
        <v>21</v>
      </c>
      <c r="B22" s="3">
        <v>1</v>
      </c>
      <c r="C22" s="4">
        <v>60</v>
      </c>
      <c r="D22" s="4" t="s">
        <v>379</v>
      </c>
      <c r="E22" s="3"/>
      <c r="F22" s="3"/>
    </row>
    <row r="23" spans="1:6" ht="14.25" customHeight="1">
      <c r="A23" s="3">
        <v>22</v>
      </c>
      <c r="B23" s="3">
        <v>1</v>
      </c>
      <c r="C23" s="4">
        <v>70</v>
      </c>
      <c r="D23" s="4" t="s">
        <v>380</v>
      </c>
      <c r="E23" s="3"/>
      <c r="F23" s="3"/>
    </row>
    <row r="24" spans="1:6" ht="14.25" customHeight="1">
      <c r="A24" s="3">
        <v>23</v>
      </c>
      <c r="B24" s="3">
        <v>1</v>
      </c>
      <c r="C24" s="4">
        <v>70</v>
      </c>
      <c r="D24" s="4" t="s">
        <v>381</v>
      </c>
      <c r="E24" s="3"/>
      <c r="F24" s="3"/>
    </row>
    <row r="25" spans="1:6" ht="14.25" customHeight="1">
      <c r="A25" s="3">
        <v>24</v>
      </c>
      <c r="B25" s="3">
        <v>1</v>
      </c>
      <c r="C25" s="4">
        <v>75</v>
      </c>
      <c r="D25" s="4" t="s">
        <v>382</v>
      </c>
      <c r="E25" s="3"/>
      <c r="F25" s="3"/>
    </row>
    <row r="26" spans="1:6" ht="14.25" customHeight="1">
      <c r="A26" s="3">
        <v>25</v>
      </c>
      <c r="B26" s="3">
        <v>1</v>
      </c>
      <c r="C26" s="4">
        <v>95</v>
      </c>
      <c r="D26" s="4" t="s">
        <v>383</v>
      </c>
      <c r="E26" s="3"/>
      <c r="F26" s="3"/>
    </row>
    <row r="27" spans="1:6" ht="14.25" customHeight="1">
      <c r="A27" s="3">
        <v>26</v>
      </c>
      <c r="B27" s="3">
        <v>1</v>
      </c>
      <c r="C27" s="4">
        <v>85</v>
      </c>
      <c r="D27" s="4" t="s">
        <v>384</v>
      </c>
      <c r="E27" s="3"/>
      <c r="F27" s="3"/>
    </row>
    <row r="28" spans="1:6" ht="14.25" customHeight="1">
      <c r="A28" s="3">
        <v>27</v>
      </c>
      <c r="B28" s="3">
        <v>1</v>
      </c>
      <c r="C28" s="4">
        <v>85</v>
      </c>
      <c r="D28" s="4" t="s">
        <v>385</v>
      </c>
      <c r="E28" s="3"/>
      <c r="F28" s="3"/>
    </row>
    <row r="29" spans="1:6" ht="14.25" customHeight="1">
      <c r="A29" s="3">
        <v>28</v>
      </c>
      <c r="B29" s="3">
        <v>1</v>
      </c>
      <c r="C29" s="4">
        <v>70</v>
      </c>
      <c r="D29" s="4" t="s">
        <v>386</v>
      </c>
      <c r="E29" s="3"/>
      <c r="F29" s="3"/>
    </row>
    <row r="30" spans="1:6" ht="14.25" customHeight="1">
      <c r="A30" s="3">
        <v>29</v>
      </c>
      <c r="B30" s="3">
        <v>1</v>
      </c>
      <c r="C30" s="4">
        <v>75</v>
      </c>
      <c r="D30" s="4" t="s">
        <v>387</v>
      </c>
      <c r="E30" s="3"/>
      <c r="F30" s="3"/>
    </row>
    <row r="31" spans="1:6" ht="14.25" customHeight="1">
      <c r="A31" s="3">
        <v>30</v>
      </c>
      <c r="B31" s="3">
        <v>0</v>
      </c>
      <c r="C31" s="4">
        <v>90</v>
      </c>
      <c r="D31" s="4" t="s">
        <v>388</v>
      </c>
      <c r="E31" s="3"/>
      <c r="F31" s="3"/>
    </row>
    <row r="32" spans="1:6" ht="14.25" customHeight="1">
      <c r="A32" s="4">
        <v>31</v>
      </c>
      <c r="B32" s="4">
        <v>1</v>
      </c>
      <c r="C32" s="4">
        <v>95</v>
      </c>
      <c r="D32" s="4" t="s">
        <v>389</v>
      </c>
    </row>
    <row r="33" spans="1:4" ht="14.25" customHeight="1">
      <c r="A33" s="4">
        <v>32</v>
      </c>
      <c r="B33" s="4">
        <v>0</v>
      </c>
      <c r="C33" s="4">
        <v>90</v>
      </c>
      <c r="D33" s="4" t="s">
        <v>390</v>
      </c>
    </row>
    <row r="34" spans="1:4" ht="14.25" customHeight="1">
      <c r="A34" s="4">
        <v>33</v>
      </c>
      <c r="B34" s="4">
        <v>0</v>
      </c>
      <c r="C34" s="4">
        <v>90</v>
      </c>
      <c r="D34" s="4" t="s">
        <v>391</v>
      </c>
    </row>
    <row r="35" spans="1:4" ht="14.25" customHeight="1">
      <c r="A35" s="4">
        <v>34</v>
      </c>
      <c r="B35" s="4">
        <v>0</v>
      </c>
      <c r="C35" s="4">
        <v>90</v>
      </c>
      <c r="D35" s="4" t="s">
        <v>392</v>
      </c>
    </row>
    <row r="36" spans="1:4" ht="14.25" customHeight="1">
      <c r="A36" s="4">
        <v>35</v>
      </c>
      <c r="B36" s="4">
        <v>0</v>
      </c>
      <c r="C36" s="4">
        <v>80</v>
      </c>
      <c r="D36" s="4" t="s">
        <v>393</v>
      </c>
    </row>
    <row r="37" spans="1:4" ht="14.25" customHeight="1">
      <c r="A37" s="4">
        <v>36</v>
      </c>
      <c r="B37" s="4">
        <v>0</v>
      </c>
      <c r="C37" s="4">
        <v>80</v>
      </c>
      <c r="D37" s="4" t="s">
        <v>394</v>
      </c>
    </row>
    <row r="38" spans="1:4" ht="14.25" customHeight="1">
      <c r="A38" s="4">
        <v>37</v>
      </c>
      <c r="B38" s="4">
        <v>1</v>
      </c>
      <c r="C38" s="4">
        <v>85</v>
      </c>
      <c r="D38" s="4" t="s">
        <v>395</v>
      </c>
    </row>
    <row r="39" spans="1:4" ht="14.25" customHeight="1">
      <c r="A39" s="4">
        <v>38</v>
      </c>
      <c r="B39" s="4">
        <v>0</v>
      </c>
      <c r="C39" s="4">
        <v>90</v>
      </c>
      <c r="D39" s="4" t="s">
        <v>396</v>
      </c>
    </row>
    <row r="40" spans="1:4" ht="14.25" customHeight="1">
      <c r="A40" s="4">
        <v>39</v>
      </c>
      <c r="B40" s="4">
        <v>1</v>
      </c>
      <c r="C40" s="4">
        <v>95</v>
      </c>
      <c r="D40" s="4" t="s">
        <v>397</v>
      </c>
    </row>
    <row r="41" spans="1:4" ht="14.25" customHeight="1">
      <c r="A41" s="4">
        <v>40</v>
      </c>
      <c r="B41" s="4">
        <v>1</v>
      </c>
      <c r="C41" s="4">
        <v>75</v>
      </c>
      <c r="D41" s="4" t="s">
        <v>398</v>
      </c>
    </row>
    <row r="42" spans="1:4" ht="14.25" customHeight="1">
      <c r="A42" s="4">
        <v>41</v>
      </c>
      <c r="B42" s="4">
        <v>1</v>
      </c>
      <c r="C42" s="4">
        <v>75</v>
      </c>
      <c r="D42" s="4" t="s">
        <v>399</v>
      </c>
    </row>
    <row r="43" spans="1:4" ht="14.25" customHeight="1">
      <c r="A43" s="4">
        <v>42</v>
      </c>
      <c r="B43" s="4">
        <v>0</v>
      </c>
      <c r="C43" s="4">
        <v>90</v>
      </c>
      <c r="D43" s="4" t="s">
        <v>400</v>
      </c>
    </row>
    <row r="44" spans="1:4" ht="14.25" customHeight="1">
      <c r="A44" s="4">
        <v>43</v>
      </c>
      <c r="B44" s="4">
        <v>0</v>
      </c>
      <c r="C44" s="4">
        <v>80</v>
      </c>
      <c r="D44" s="4" t="s">
        <v>401</v>
      </c>
    </row>
    <row r="45" spans="1:4" ht="14.25" customHeight="1">
      <c r="A45" s="4">
        <v>44</v>
      </c>
      <c r="B45" s="4">
        <v>0</v>
      </c>
      <c r="C45" s="4">
        <v>80</v>
      </c>
      <c r="D45" s="4" t="s">
        <v>402</v>
      </c>
    </row>
    <row r="46" spans="1:4" ht="14.25" customHeight="1">
      <c r="A46" s="4">
        <v>45</v>
      </c>
      <c r="B46" s="4">
        <v>0</v>
      </c>
      <c r="C46" s="4">
        <v>65</v>
      </c>
      <c r="D46" s="4" t="s">
        <v>403</v>
      </c>
    </row>
    <row r="47" spans="1:4" ht="14.25" customHeight="1">
      <c r="A47" s="4">
        <v>46</v>
      </c>
      <c r="B47" s="4">
        <v>0</v>
      </c>
      <c r="C47" s="4">
        <v>80</v>
      </c>
      <c r="D47" s="4" t="s">
        <v>404</v>
      </c>
    </row>
    <row r="48" spans="1:4" ht="14.25" customHeight="1">
      <c r="A48" s="4">
        <v>47</v>
      </c>
      <c r="B48" s="4">
        <v>1</v>
      </c>
      <c r="C48" s="4">
        <v>95</v>
      </c>
      <c r="D48" s="4" t="s">
        <v>405</v>
      </c>
    </row>
    <row r="49" spans="1:4" ht="14.25" customHeight="1">
      <c r="A49" s="4">
        <v>48</v>
      </c>
      <c r="B49" s="4">
        <v>0</v>
      </c>
      <c r="C49" s="4">
        <v>80</v>
      </c>
      <c r="D49" s="4" t="s">
        <v>406</v>
      </c>
    </row>
    <row r="50" spans="1:4" ht="14.25" customHeight="1">
      <c r="A50" s="4">
        <v>49</v>
      </c>
      <c r="B50" s="4">
        <v>1</v>
      </c>
      <c r="C50" s="4">
        <v>95</v>
      </c>
      <c r="D50" s="4" t="s">
        <v>407</v>
      </c>
    </row>
    <row r="51" spans="1:4" ht="14.25" customHeight="1">
      <c r="A51" s="4">
        <v>50</v>
      </c>
      <c r="B51" s="4">
        <v>1</v>
      </c>
      <c r="C51" s="4">
        <v>75</v>
      </c>
      <c r="D51" s="4" t="s">
        <v>408</v>
      </c>
    </row>
    <row r="52" spans="1:4" ht="14.25" customHeight="1">
      <c r="A52" s="4">
        <v>51</v>
      </c>
      <c r="B52" s="4">
        <v>1</v>
      </c>
      <c r="C52" s="4">
        <v>85</v>
      </c>
      <c r="D52" s="4" t="s">
        <v>409</v>
      </c>
    </row>
    <row r="53" spans="1:4" ht="14.25" customHeight="1">
      <c r="A53" s="4">
        <v>52</v>
      </c>
      <c r="B53" s="4">
        <v>0</v>
      </c>
      <c r="C53" s="4">
        <v>80</v>
      </c>
      <c r="D53" s="4" t="s">
        <v>410</v>
      </c>
    </row>
    <row r="54" spans="1:4" ht="14.25" customHeight="1">
      <c r="A54" s="4">
        <v>53</v>
      </c>
      <c r="B54" s="4">
        <v>0</v>
      </c>
      <c r="C54" s="4">
        <v>80</v>
      </c>
      <c r="D54" s="4" t="s">
        <v>411</v>
      </c>
    </row>
    <row r="55" spans="1:4" ht="14.25" customHeight="1">
      <c r="A55" s="4">
        <v>54</v>
      </c>
      <c r="B55" s="4">
        <v>0</v>
      </c>
      <c r="C55" s="4">
        <v>80</v>
      </c>
      <c r="D55" s="4" t="s">
        <v>412</v>
      </c>
    </row>
    <row r="56" spans="1:4" ht="14.25" customHeight="1">
      <c r="A56" s="4">
        <v>55</v>
      </c>
      <c r="B56" s="4">
        <v>1</v>
      </c>
      <c r="C56" s="4">
        <v>95</v>
      </c>
      <c r="D56" s="4" t="s">
        <v>413</v>
      </c>
    </row>
    <row r="57" spans="1:4" ht="14.25" customHeight="1">
      <c r="A57" s="4">
        <v>56</v>
      </c>
      <c r="B57" s="4">
        <v>0</v>
      </c>
      <c r="C57" s="4">
        <v>80</v>
      </c>
      <c r="D57" s="4" t="s">
        <v>414</v>
      </c>
    </row>
    <row r="58" spans="1:4" ht="14.25" customHeight="1">
      <c r="A58" s="4">
        <v>57</v>
      </c>
      <c r="B58" s="4">
        <v>1</v>
      </c>
      <c r="C58" s="4">
        <v>85</v>
      </c>
      <c r="D58" s="4" t="s">
        <v>415</v>
      </c>
    </row>
    <row r="59" spans="1:4" ht="14.25" customHeight="1">
      <c r="A59" s="4">
        <v>58</v>
      </c>
      <c r="B59" s="4">
        <v>1</v>
      </c>
      <c r="C59" s="4">
        <v>95</v>
      </c>
      <c r="D59" s="4" t="s">
        <v>416</v>
      </c>
    </row>
    <row r="60" spans="1:4" ht="14.25" customHeight="1">
      <c r="A60" s="4">
        <v>59</v>
      </c>
      <c r="B60" s="4">
        <v>1</v>
      </c>
      <c r="C60" s="4">
        <v>70</v>
      </c>
      <c r="D60" s="4" t="s">
        <v>417</v>
      </c>
    </row>
    <row r="61" spans="1:4" ht="14.25" customHeight="1">
      <c r="A61" s="4">
        <v>60</v>
      </c>
      <c r="B61" s="4">
        <v>1</v>
      </c>
      <c r="C61" s="4">
        <v>75</v>
      </c>
      <c r="D61" s="4" t="s">
        <v>418</v>
      </c>
    </row>
    <row r="62" spans="1:4" ht="14.25" customHeight="1">
      <c r="A62" s="4">
        <v>61</v>
      </c>
      <c r="B62" s="4">
        <v>1</v>
      </c>
      <c r="C62" s="4">
        <v>75</v>
      </c>
      <c r="D62" s="4" t="s">
        <v>419</v>
      </c>
    </row>
    <row r="63" spans="1:4" ht="14.25" customHeight="1">
      <c r="A63" s="4">
        <v>62</v>
      </c>
      <c r="B63" s="4">
        <v>0</v>
      </c>
      <c r="C63" s="4">
        <v>80</v>
      </c>
      <c r="D63" s="4" t="s">
        <v>420</v>
      </c>
    </row>
    <row r="64" spans="1:4" ht="14.25" customHeight="1">
      <c r="A64" s="4">
        <v>63</v>
      </c>
      <c r="B64" s="4">
        <v>1</v>
      </c>
      <c r="C64" s="4">
        <v>70</v>
      </c>
      <c r="D64" s="4" t="s">
        <v>421</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000"/>
  <sheetViews>
    <sheetView workbookViewId="0"/>
  </sheetViews>
  <sheetFormatPr defaultColWidth="12.6640625" defaultRowHeight="15" customHeight="1"/>
  <cols>
    <col min="1" max="26" width="8.6640625" customWidth="1"/>
  </cols>
  <sheetData>
    <row r="1" spans="1:6" ht="14.25" customHeight="1">
      <c r="A1" s="6" t="s">
        <v>0</v>
      </c>
      <c r="B1" s="6" t="s">
        <v>19</v>
      </c>
      <c r="C1" s="4" t="s">
        <v>20</v>
      </c>
      <c r="D1" s="4" t="s">
        <v>21</v>
      </c>
      <c r="E1" s="6"/>
      <c r="F1" s="6"/>
    </row>
    <row r="2" spans="1:6" ht="14.25" customHeight="1">
      <c r="A2" s="3">
        <v>1</v>
      </c>
      <c r="B2" s="3">
        <v>1</v>
      </c>
      <c r="C2" s="4">
        <v>96</v>
      </c>
      <c r="D2" s="4" t="s">
        <v>422</v>
      </c>
      <c r="E2" s="3"/>
      <c r="F2" s="3"/>
    </row>
    <row r="3" spans="1:6" ht="14.25" customHeight="1">
      <c r="A3" s="3">
        <v>2</v>
      </c>
      <c r="B3" s="3">
        <v>0</v>
      </c>
      <c r="C3" s="4">
        <v>65</v>
      </c>
      <c r="D3" s="4" t="s">
        <v>423</v>
      </c>
      <c r="E3" s="3"/>
      <c r="F3" s="3"/>
    </row>
    <row r="4" spans="1:6" ht="14.25" customHeight="1">
      <c r="A4" s="3">
        <v>3</v>
      </c>
      <c r="B4" s="3">
        <v>1</v>
      </c>
      <c r="C4" s="4">
        <v>99</v>
      </c>
      <c r="D4" s="4" t="s">
        <v>424</v>
      </c>
      <c r="E4" s="3"/>
      <c r="F4" s="3"/>
    </row>
    <row r="5" spans="1:6" ht="14.25" customHeight="1">
      <c r="A5" s="3">
        <v>4</v>
      </c>
      <c r="B5" s="3">
        <v>0</v>
      </c>
      <c r="C5" s="4">
        <v>89</v>
      </c>
      <c r="D5" s="4" t="s">
        <v>425</v>
      </c>
      <c r="E5" s="3"/>
      <c r="F5" s="3"/>
    </row>
    <row r="6" spans="1:6" ht="14.25" customHeight="1">
      <c r="A6" s="3">
        <v>5</v>
      </c>
      <c r="B6" s="3">
        <v>1</v>
      </c>
      <c r="C6" s="4">
        <v>99</v>
      </c>
      <c r="D6" s="4" t="s">
        <v>426</v>
      </c>
      <c r="E6" s="3"/>
      <c r="F6" s="3"/>
    </row>
    <row r="7" spans="1:6" ht="14.25" customHeight="1">
      <c r="A7" s="3">
        <v>6</v>
      </c>
      <c r="B7" s="3">
        <v>1</v>
      </c>
      <c r="C7" s="4">
        <v>99</v>
      </c>
      <c r="D7" s="4" t="s">
        <v>427</v>
      </c>
      <c r="E7" s="3"/>
      <c r="F7" s="3"/>
    </row>
    <row r="8" spans="1:6" ht="14.25" customHeight="1">
      <c r="A8" s="3">
        <v>7</v>
      </c>
      <c r="B8" s="3">
        <v>0</v>
      </c>
      <c r="C8" s="4">
        <v>89</v>
      </c>
      <c r="D8" s="4" t="s">
        <v>428</v>
      </c>
      <c r="E8" s="3"/>
      <c r="F8" s="3"/>
    </row>
    <row r="9" spans="1:6" ht="14.25" customHeight="1">
      <c r="A9" s="3">
        <v>8</v>
      </c>
      <c r="B9" s="3">
        <v>0</v>
      </c>
      <c r="C9" s="4">
        <v>64</v>
      </c>
      <c r="D9" s="4" t="s">
        <v>429</v>
      </c>
      <c r="E9" s="3"/>
      <c r="F9" s="3"/>
    </row>
    <row r="10" spans="1:6" ht="14.25" customHeight="1">
      <c r="A10" s="3">
        <v>9</v>
      </c>
      <c r="B10" s="3">
        <v>1</v>
      </c>
      <c r="C10" s="4">
        <v>93</v>
      </c>
      <c r="D10" s="4" t="s">
        <v>430</v>
      </c>
      <c r="E10" s="3"/>
      <c r="F10" s="3"/>
    </row>
    <row r="11" spans="1:6" ht="14.25" customHeight="1">
      <c r="A11" s="3">
        <v>10</v>
      </c>
      <c r="B11" s="3">
        <v>1</v>
      </c>
      <c r="C11" s="4">
        <v>74</v>
      </c>
      <c r="D11" s="4" t="s">
        <v>431</v>
      </c>
      <c r="E11" s="3"/>
      <c r="F11" s="3"/>
    </row>
    <row r="12" spans="1:6" ht="14.25" customHeight="1">
      <c r="A12" s="3">
        <v>11</v>
      </c>
      <c r="B12" s="3">
        <v>1</v>
      </c>
      <c r="C12" s="4">
        <v>66</v>
      </c>
      <c r="D12" s="4" t="s">
        <v>432</v>
      </c>
      <c r="E12" s="3"/>
      <c r="F12" s="3"/>
    </row>
    <row r="13" spans="1:6" ht="14.25" customHeight="1">
      <c r="A13" s="3">
        <v>12</v>
      </c>
      <c r="B13" s="3">
        <v>0</v>
      </c>
      <c r="C13" s="4">
        <v>63</v>
      </c>
      <c r="D13" s="4" t="s">
        <v>433</v>
      </c>
      <c r="E13" s="3"/>
      <c r="F13" s="3"/>
    </row>
    <row r="14" spans="1:6" ht="14.25" customHeight="1">
      <c r="A14" s="3">
        <v>13</v>
      </c>
      <c r="B14" s="3">
        <v>1</v>
      </c>
      <c r="C14" s="4">
        <v>99</v>
      </c>
      <c r="D14" s="4" t="s">
        <v>434</v>
      </c>
      <c r="E14" s="3"/>
      <c r="F14" s="3"/>
    </row>
    <row r="15" spans="1:6" ht="14.25" customHeight="1">
      <c r="A15" s="3">
        <v>14</v>
      </c>
      <c r="B15" s="3">
        <v>1</v>
      </c>
      <c r="C15" s="4">
        <v>68</v>
      </c>
      <c r="D15" s="4" t="s">
        <v>435</v>
      </c>
      <c r="E15" s="3"/>
      <c r="F15" s="3"/>
    </row>
    <row r="16" spans="1:6" ht="14.25" customHeight="1">
      <c r="A16" s="3">
        <v>15</v>
      </c>
      <c r="B16" s="3">
        <v>0</v>
      </c>
      <c r="C16" s="4">
        <v>69</v>
      </c>
      <c r="D16" s="4" t="s">
        <v>436</v>
      </c>
      <c r="E16" s="3"/>
      <c r="F16" s="3"/>
    </row>
    <row r="17" spans="1:6" ht="14.25" customHeight="1">
      <c r="A17" s="3">
        <v>16</v>
      </c>
      <c r="B17" s="3">
        <v>1</v>
      </c>
      <c r="C17" s="4">
        <v>82</v>
      </c>
      <c r="D17" s="4" t="s">
        <v>437</v>
      </c>
      <c r="E17" s="3"/>
      <c r="F17" s="3"/>
    </row>
    <row r="18" spans="1:6" ht="14.25" customHeight="1">
      <c r="A18" s="3">
        <v>17</v>
      </c>
      <c r="B18" s="3">
        <v>0</v>
      </c>
      <c r="C18" s="4">
        <v>83</v>
      </c>
      <c r="D18" s="4" t="s">
        <v>438</v>
      </c>
      <c r="E18" s="3"/>
      <c r="F18" s="3"/>
    </row>
    <row r="19" spans="1:6" ht="14.25" customHeight="1">
      <c r="A19" s="3">
        <v>18</v>
      </c>
      <c r="B19" s="3">
        <v>1</v>
      </c>
      <c r="C19" s="4">
        <v>96</v>
      </c>
      <c r="D19" s="4" t="s">
        <v>439</v>
      </c>
      <c r="E19" s="3"/>
      <c r="F19" s="3"/>
    </row>
    <row r="20" spans="1:6" ht="14.25" customHeight="1">
      <c r="A20" s="3">
        <v>19</v>
      </c>
      <c r="B20" s="3">
        <v>1</v>
      </c>
      <c r="C20" s="4">
        <v>99</v>
      </c>
      <c r="D20" s="4" t="s">
        <v>440</v>
      </c>
      <c r="E20" s="3"/>
      <c r="F20" s="3"/>
    </row>
    <row r="21" spans="1:6" ht="14.25" customHeight="1">
      <c r="A21" s="3">
        <v>20</v>
      </c>
      <c r="B21" s="3">
        <v>1</v>
      </c>
      <c r="C21" s="4">
        <v>90</v>
      </c>
      <c r="D21" s="4" t="s">
        <v>441</v>
      </c>
      <c r="E21" s="3"/>
      <c r="F21" s="3"/>
    </row>
    <row r="22" spans="1:6" ht="14.25" customHeight="1">
      <c r="A22" s="3">
        <v>21</v>
      </c>
      <c r="B22" s="3">
        <v>1</v>
      </c>
      <c r="C22" s="4">
        <v>82</v>
      </c>
      <c r="D22" s="4" t="s">
        <v>442</v>
      </c>
      <c r="E22" s="3"/>
      <c r="F22" s="3"/>
    </row>
    <row r="23" spans="1:6" ht="14.25" customHeight="1">
      <c r="A23" s="3">
        <v>22</v>
      </c>
      <c r="B23" s="3">
        <v>1</v>
      </c>
      <c r="C23" s="4">
        <v>77</v>
      </c>
      <c r="D23" s="4" t="s">
        <v>443</v>
      </c>
      <c r="E23" s="3"/>
      <c r="F23" s="3"/>
    </row>
    <row r="24" spans="1:6" ht="14.25" customHeight="1">
      <c r="A24" s="3">
        <v>23</v>
      </c>
      <c r="B24" s="3">
        <v>1</v>
      </c>
      <c r="C24" s="4">
        <v>77</v>
      </c>
      <c r="D24" s="4" t="s">
        <v>444</v>
      </c>
      <c r="E24" s="3"/>
      <c r="F24" s="3"/>
    </row>
    <row r="25" spans="1:6" ht="14.25" customHeight="1">
      <c r="A25" s="3">
        <v>24</v>
      </c>
      <c r="B25" s="3">
        <v>1</v>
      </c>
      <c r="C25" s="4">
        <v>85</v>
      </c>
      <c r="D25" s="4" t="s">
        <v>445</v>
      </c>
      <c r="E25" s="3"/>
      <c r="F25" s="3"/>
    </row>
    <row r="26" spans="1:6" ht="14.25" customHeight="1">
      <c r="A26" s="3">
        <v>25</v>
      </c>
      <c r="B26" s="3">
        <v>1</v>
      </c>
      <c r="C26" s="4">
        <v>99</v>
      </c>
      <c r="D26" s="4" t="s">
        <v>446</v>
      </c>
      <c r="E26" s="3"/>
      <c r="F26" s="3"/>
    </row>
    <row r="27" spans="1:6" ht="14.25" customHeight="1">
      <c r="A27" s="3">
        <v>26</v>
      </c>
      <c r="B27" s="3">
        <v>1</v>
      </c>
      <c r="C27" s="4">
        <v>99</v>
      </c>
      <c r="D27" s="4" t="s">
        <v>447</v>
      </c>
      <c r="E27" s="3"/>
      <c r="F27" s="3"/>
    </row>
    <row r="28" spans="1:6" ht="14.25" customHeight="1">
      <c r="A28" s="3">
        <v>27</v>
      </c>
      <c r="B28" s="3">
        <v>1</v>
      </c>
      <c r="C28" s="4">
        <v>99</v>
      </c>
      <c r="D28" s="4" t="s">
        <v>448</v>
      </c>
      <c r="E28" s="3"/>
      <c r="F28" s="3"/>
    </row>
    <row r="29" spans="1:6" ht="14.25" customHeight="1">
      <c r="A29" s="3">
        <v>28</v>
      </c>
      <c r="B29" s="3">
        <v>1</v>
      </c>
      <c r="C29" s="4">
        <v>79</v>
      </c>
      <c r="D29" s="4" t="s">
        <v>449</v>
      </c>
      <c r="E29" s="3"/>
      <c r="F29" s="3"/>
    </row>
    <row r="30" spans="1:6" ht="14.25" customHeight="1">
      <c r="A30" s="3">
        <v>29</v>
      </c>
      <c r="B30" s="3">
        <v>1</v>
      </c>
      <c r="C30" s="4">
        <v>81</v>
      </c>
      <c r="D30" s="4" t="s">
        <v>450</v>
      </c>
      <c r="E30" s="3"/>
      <c r="F30" s="3"/>
    </row>
    <row r="31" spans="1:6" ht="14.25" customHeight="1">
      <c r="A31" s="3">
        <v>30</v>
      </c>
      <c r="B31" s="3">
        <v>0</v>
      </c>
      <c r="C31" s="4">
        <v>74</v>
      </c>
      <c r="D31" s="4" t="s">
        <v>451</v>
      </c>
      <c r="E31" s="3"/>
      <c r="F31" s="3"/>
    </row>
    <row r="32" spans="1:6" ht="14.25" customHeight="1">
      <c r="A32" s="4">
        <v>31</v>
      </c>
      <c r="B32" s="4">
        <v>1</v>
      </c>
      <c r="C32" s="4">
        <v>99</v>
      </c>
      <c r="D32" s="4" t="s">
        <v>452</v>
      </c>
    </row>
    <row r="33" spans="1:4" ht="14.25" customHeight="1">
      <c r="A33" s="4">
        <v>32</v>
      </c>
      <c r="B33" s="4">
        <v>0</v>
      </c>
      <c r="C33" s="4">
        <v>89</v>
      </c>
      <c r="D33" s="4" t="s">
        <v>453</v>
      </c>
    </row>
    <row r="34" spans="1:4" ht="14.25" customHeight="1">
      <c r="A34" s="4">
        <v>33</v>
      </c>
      <c r="B34" s="4">
        <v>0</v>
      </c>
      <c r="C34" s="4">
        <v>93</v>
      </c>
      <c r="D34" s="4" t="s">
        <v>454</v>
      </c>
    </row>
    <row r="35" spans="1:4" ht="14.25" customHeight="1">
      <c r="A35" s="4">
        <v>34</v>
      </c>
      <c r="B35" s="4">
        <v>0</v>
      </c>
      <c r="C35" s="4">
        <v>69</v>
      </c>
      <c r="D35" s="4" t="s">
        <v>455</v>
      </c>
    </row>
    <row r="36" spans="1:4" ht="14.25" customHeight="1">
      <c r="A36" s="4">
        <v>35</v>
      </c>
      <c r="B36" s="4">
        <v>0</v>
      </c>
      <c r="C36" s="4">
        <v>94</v>
      </c>
      <c r="D36" s="4" t="s">
        <v>456</v>
      </c>
    </row>
    <row r="37" spans="1:4" ht="14.25" customHeight="1">
      <c r="A37" s="4">
        <v>36</v>
      </c>
      <c r="B37" s="4">
        <v>0</v>
      </c>
      <c r="C37" s="4">
        <v>77</v>
      </c>
      <c r="D37" s="4" t="s">
        <v>457</v>
      </c>
    </row>
    <row r="38" spans="1:4" ht="14.25" customHeight="1">
      <c r="A38" s="4">
        <v>37</v>
      </c>
      <c r="B38" s="4">
        <v>1</v>
      </c>
      <c r="C38" s="4">
        <v>99</v>
      </c>
      <c r="D38" s="4" t="s">
        <v>458</v>
      </c>
    </row>
    <row r="39" spans="1:4" ht="14.25" customHeight="1">
      <c r="A39" s="4">
        <v>38</v>
      </c>
      <c r="B39" s="4">
        <v>0</v>
      </c>
      <c r="C39" s="4">
        <v>85</v>
      </c>
      <c r="D39" s="4" t="s">
        <v>459</v>
      </c>
    </row>
    <row r="40" spans="1:4" ht="14.25" customHeight="1">
      <c r="A40" s="4">
        <v>39</v>
      </c>
      <c r="B40" s="4">
        <v>1</v>
      </c>
      <c r="C40" s="4">
        <v>99</v>
      </c>
      <c r="D40" s="4" t="s">
        <v>460</v>
      </c>
    </row>
    <row r="41" spans="1:4" ht="14.25" customHeight="1">
      <c r="A41" s="4">
        <v>40</v>
      </c>
      <c r="B41" s="4">
        <v>1</v>
      </c>
      <c r="C41" s="4">
        <v>91</v>
      </c>
      <c r="D41" s="4" t="s">
        <v>461</v>
      </c>
    </row>
    <row r="42" spans="1:4" ht="14.25" customHeight="1">
      <c r="A42" s="4">
        <v>41</v>
      </c>
      <c r="B42" s="4">
        <v>1</v>
      </c>
      <c r="C42" s="4">
        <v>84</v>
      </c>
      <c r="D42" s="4" t="s">
        <v>462</v>
      </c>
    </row>
    <row r="43" spans="1:4" ht="14.25" customHeight="1">
      <c r="A43" s="4">
        <v>42</v>
      </c>
      <c r="B43" s="4">
        <v>0</v>
      </c>
      <c r="C43" s="4">
        <v>75</v>
      </c>
      <c r="D43" s="4" t="s">
        <v>463</v>
      </c>
    </row>
    <row r="44" spans="1:4" ht="14.25" customHeight="1">
      <c r="A44" s="4">
        <v>43</v>
      </c>
      <c r="B44" s="4">
        <v>0</v>
      </c>
      <c r="C44" s="4">
        <v>84</v>
      </c>
      <c r="D44" s="4" t="s">
        <v>464</v>
      </c>
    </row>
    <row r="45" spans="1:4" ht="14.25" customHeight="1">
      <c r="A45" s="4">
        <v>44</v>
      </c>
      <c r="B45" s="4">
        <v>0</v>
      </c>
      <c r="C45" s="4">
        <v>63</v>
      </c>
      <c r="D45" s="4" t="s">
        <v>433</v>
      </c>
    </row>
    <row r="46" spans="1:4" ht="14.25" customHeight="1">
      <c r="A46" s="4">
        <v>45</v>
      </c>
      <c r="B46" s="4">
        <v>1</v>
      </c>
      <c r="C46" s="4">
        <v>77</v>
      </c>
      <c r="D46" s="4" t="s">
        <v>465</v>
      </c>
    </row>
    <row r="47" spans="1:4" ht="14.25" customHeight="1">
      <c r="A47" s="4">
        <v>46</v>
      </c>
      <c r="B47" s="4">
        <v>0</v>
      </c>
      <c r="C47" s="4">
        <v>90</v>
      </c>
      <c r="D47" s="4" t="s">
        <v>466</v>
      </c>
    </row>
    <row r="48" spans="1:4" ht="14.25" customHeight="1">
      <c r="A48" s="4">
        <v>47</v>
      </c>
      <c r="B48" s="4">
        <v>1</v>
      </c>
      <c r="C48" s="4">
        <v>99</v>
      </c>
      <c r="D48" s="4" t="s">
        <v>467</v>
      </c>
    </row>
    <row r="49" spans="1:4" ht="14.25" customHeight="1">
      <c r="A49" s="4">
        <v>48</v>
      </c>
      <c r="B49" s="4">
        <v>0</v>
      </c>
      <c r="C49" s="4">
        <v>55</v>
      </c>
      <c r="D49" s="4" t="s">
        <v>423</v>
      </c>
    </row>
    <row r="50" spans="1:4" ht="14.25" customHeight="1">
      <c r="A50" s="4">
        <v>49</v>
      </c>
      <c r="B50" s="4">
        <v>1</v>
      </c>
      <c r="C50" s="4">
        <v>99</v>
      </c>
      <c r="D50" s="4" t="s">
        <v>468</v>
      </c>
    </row>
    <row r="51" spans="1:4" ht="14.25" customHeight="1">
      <c r="A51" s="4">
        <v>50</v>
      </c>
      <c r="B51" s="4">
        <v>1</v>
      </c>
      <c r="C51" s="4">
        <v>82</v>
      </c>
      <c r="D51" s="4" t="s">
        <v>469</v>
      </c>
    </row>
    <row r="52" spans="1:4" ht="14.25" customHeight="1">
      <c r="A52" s="4">
        <v>51</v>
      </c>
      <c r="B52" s="4">
        <v>1</v>
      </c>
      <c r="C52" s="4">
        <v>99</v>
      </c>
      <c r="D52" s="4" t="s">
        <v>470</v>
      </c>
    </row>
    <row r="53" spans="1:4" ht="14.25" customHeight="1">
      <c r="A53" s="4">
        <v>52</v>
      </c>
      <c r="B53" s="4">
        <v>0</v>
      </c>
      <c r="C53" s="4">
        <v>90</v>
      </c>
      <c r="D53" s="4" t="s">
        <v>471</v>
      </c>
    </row>
    <row r="54" spans="1:4" ht="14.25" customHeight="1">
      <c r="A54" s="4">
        <v>53</v>
      </c>
      <c r="B54" s="4">
        <v>0</v>
      </c>
      <c r="C54" s="4">
        <v>92</v>
      </c>
      <c r="D54" s="4" t="s">
        <v>472</v>
      </c>
    </row>
    <row r="55" spans="1:4" ht="14.25" customHeight="1">
      <c r="A55" s="4">
        <v>54</v>
      </c>
      <c r="B55" s="4">
        <v>0</v>
      </c>
      <c r="C55" s="4">
        <v>55</v>
      </c>
      <c r="D55" s="4" t="s">
        <v>423</v>
      </c>
    </row>
    <row r="56" spans="1:4" ht="14.25" customHeight="1">
      <c r="A56" s="4">
        <v>55</v>
      </c>
      <c r="B56" s="4">
        <v>1</v>
      </c>
      <c r="C56" s="4">
        <v>99</v>
      </c>
      <c r="D56" s="4" t="s">
        <v>473</v>
      </c>
    </row>
    <row r="57" spans="1:4" ht="14.25" customHeight="1">
      <c r="A57" s="4">
        <v>56</v>
      </c>
      <c r="B57" s="4">
        <v>0</v>
      </c>
      <c r="C57" s="4">
        <v>95</v>
      </c>
      <c r="D57" s="4" t="s">
        <v>474</v>
      </c>
    </row>
    <row r="58" spans="1:4" ht="14.25" customHeight="1">
      <c r="A58" s="4">
        <v>57</v>
      </c>
      <c r="B58" s="4">
        <v>1</v>
      </c>
      <c r="C58" s="4">
        <v>99</v>
      </c>
      <c r="D58" s="4" t="s">
        <v>475</v>
      </c>
    </row>
    <row r="59" spans="1:4" ht="14.25" customHeight="1">
      <c r="A59" s="4">
        <v>58</v>
      </c>
      <c r="B59" s="4">
        <v>1</v>
      </c>
      <c r="C59" s="4">
        <v>99</v>
      </c>
      <c r="D59" s="4" t="s">
        <v>476</v>
      </c>
    </row>
    <row r="60" spans="1:4" ht="14.25" customHeight="1">
      <c r="A60" s="4">
        <v>59</v>
      </c>
      <c r="B60" s="4">
        <v>1</v>
      </c>
      <c r="C60" s="4">
        <v>83</v>
      </c>
      <c r="D60" s="4" t="s">
        <v>477</v>
      </c>
    </row>
    <row r="61" spans="1:4" ht="14.25" customHeight="1">
      <c r="A61" s="4">
        <v>60</v>
      </c>
      <c r="B61" s="4">
        <v>1</v>
      </c>
      <c r="C61" s="4">
        <v>89</v>
      </c>
      <c r="D61" s="4" t="s">
        <v>478</v>
      </c>
    </row>
    <row r="62" spans="1:4" ht="14.25" customHeight="1">
      <c r="A62" s="4">
        <v>61</v>
      </c>
      <c r="B62" s="4">
        <v>1</v>
      </c>
      <c r="C62" s="4">
        <v>83</v>
      </c>
      <c r="D62" s="4" t="s">
        <v>479</v>
      </c>
    </row>
    <row r="63" spans="1:4" ht="14.25" customHeight="1">
      <c r="A63" s="4">
        <v>62</v>
      </c>
      <c r="B63" s="4">
        <v>0</v>
      </c>
      <c r="C63" s="4">
        <v>89</v>
      </c>
      <c r="D63" s="4" t="s">
        <v>428</v>
      </c>
    </row>
    <row r="64" spans="1:4" ht="14.25" customHeight="1">
      <c r="A64" s="4">
        <v>63</v>
      </c>
      <c r="B64" s="4">
        <v>1</v>
      </c>
      <c r="C64" s="4">
        <v>75</v>
      </c>
      <c r="D64" s="4" t="s">
        <v>480</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1948"/>
  <sheetViews>
    <sheetView workbookViewId="0"/>
  </sheetViews>
  <sheetFormatPr defaultColWidth="12.6640625" defaultRowHeight="15" customHeight="1"/>
  <cols>
    <col min="1" max="26" width="8.6640625" customWidth="1"/>
  </cols>
  <sheetData>
    <row r="1" spans="1:6" ht="14.25" customHeight="1">
      <c r="A1" s="6" t="s">
        <v>0</v>
      </c>
      <c r="B1" s="6" t="s">
        <v>19</v>
      </c>
      <c r="C1" s="6" t="s">
        <v>20</v>
      </c>
      <c r="D1" s="6" t="s">
        <v>21</v>
      </c>
      <c r="E1" s="6"/>
      <c r="F1" s="6"/>
    </row>
    <row r="2" spans="1:6" ht="14.25" customHeight="1">
      <c r="A2" s="3">
        <v>1</v>
      </c>
      <c r="B2" s="3">
        <v>1</v>
      </c>
      <c r="C2" s="3">
        <v>85</v>
      </c>
      <c r="D2" s="3" t="s">
        <v>481</v>
      </c>
      <c r="E2" s="3"/>
      <c r="F2" s="3"/>
    </row>
    <row r="3" spans="1:6" ht="14.25" customHeight="1">
      <c r="A3" s="3">
        <v>2</v>
      </c>
      <c r="B3" s="3">
        <v>0</v>
      </c>
      <c r="C3" s="3">
        <v>65</v>
      </c>
      <c r="D3" s="3" t="s">
        <v>482</v>
      </c>
      <c r="E3" s="3"/>
      <c r="F3" s="3"/>
    </row>
    <row r="4" spans="1:6" ht="14.25" customHeight="1">
      <c r="A4" s="3">
        <v>3</v>
      </c>
      <c r="B4" s="3">
        <v>1</v>
      </c>
      <c r="C4" s="3">
        <v>95</v>
      </c>
      <c r="D4" s="3" t="s">
        <v>483</v>
      </c>
      <c r="E4" s="3"/>
      <c r="F4" s="3"/>
    </row>
    <row r="5" spans="1:6" ht="14.25" customHeight="1">
      <c r="A5" s="3">
        <v>4</v>
      </c>
      <c r="B5" s="3">
        <v>0</v>
      </c>
      <c r="C5" s="3">
        <v>90</v>
      </c>
      <c r="D5" s="3" t="s">
        <v>484</v>
      </c>
      <c r="E5" s="3"/>
      <c r="F5" s="3"/>
    </row>
    <row r="6" spans="1:6" ht="14.25" customHeight="1">
      <c r="A6" s="3">
        <v>5</v>
      </c>
      <c r="B6" s="3">
        <v>1</v>
      </c>
      <c r="C6" s="3">
        <v>95</v>
      </c>
      <c r="D6" s="3" t="s">
        <v>485</v>
      </c>
      <c r="E6" s="3"/>
      <c r="F6" s="3"/>
    </row>
    <row r="7" spans="1:6" ht="14.25" customHeight="1">
      <c r="A7" s="3">
        <v>6</v>
      </c>
      <c r="B7" s="3">
        <v>1</v>
      </c>
      <c r="C7" s="3">
        <v>95</v>
      </c>
      <c r="D7" s="3" t="s">
        <v>486</v>
      </c>
      <c r="E7" s="3"/>
      <c r="F7" s="3"/>
    </row>
    <row r="8" spans="1:6" ht="14.25" customHeight="1">
      <c r="A8" s="3">
        <v>7</v>
      </c>
      <c r="B8" s="3">
        <v>0</v>
      </c>
      <c r="C8" s="3">
        <v>90</v>
      </c>
      <c r="D8" s="3" t="s">
        <v>487</v>
      </c>
      <c r="E8" s="3"/>
      <c r="F8" s="3"/>
    </row>
    <row r="9" spans="1:6" ht="14.25" customHeight="1">
      <c r="A9" s="3">
        <v>8</v>
      </c>
      <c r="B9" s="3">
        <v>0</v>
      </c>
      <c r="C9" s="3">
        <v>65</v>
      </c>
      <c r="D9" s="3" t="s">
        <v>488</v>
      </c>
      <c r="E9" s="3"/>
      <c r="F9" s="3"/>
    </row>
    <row r="10" spans="1:6" ht="14.25" customHeight="1">
      <c r="A10" s="3">
        <v>9</v>
      </c>
      <c r="B10" s="3">
        <v>1</v>
      </c>
      <c r="C10" s="3">
        <v>85</v>
      </c>
      <c r="D10" s="3" t="s">
        <v>489</v>
      </c>
      <c r="E10" s="3"/>
      <c r="F10" s="3"/>
    </row>
    <row r="11" spans="1:6" ht="14.25" customHeight="1">
      <c r="A11" s="3">
        <v>10</v>
      </c>
      <c r="B11" s="3">
        <v>1</v>
      </c>
      <c r="C11" s="3">
        <v>70</v>
      </c>
      <c r="D11" s="3" t="s">
        <v>490</v>
      </c>
      <c r="E11" s="3"/>
      <c r="F11" s="3"/>
    </row>
    <row r="12" spans="1:6" ht="14.25" customHeight="1">
      <c r="A12" s="3">
        <v>11</v>
      </c>
      <c r="B12" s="3">
        <v>1</v>
      </c>
      <c r="C12" s="3">
        <v>70</v>
      </c>
      <c r="D12" s="3" t="s">
        <v>491</v>
      </c>
      <c r="E12" s="3"/>
      <c r="F12" s="3"/>
    </row>
    <row r="13" spans="1:6" ht="14.25" customHeight="1">
      <c r="A13" s="3">
        <v>12</v>
      </c>
      <c r="B13" s="3">
        <v>0</v>
      </c>
      <c r="C13" s="3">
        <v>65</v>
      </c>
      <c r="D13" s="3" t="s">
        <v>492</v>
      </c>
      <c r="E13" s="3"/>
      <c r="F13" s="3"/>
    </row>
    <row r="14" spans="1:6" ht="14.25" customHeight="1">
      <c r="A14" s="3">
        <v>13</v>
      </c>
      <c r="B14" s="3">
        <v>1</v>
      </c>
      <c r="C14" s="3">
        <v>95</v>
      </c>
      <c r="D14" s="3" t="s">
        <v>493</v>
      </c>
      <c r="E14" s="3"/>
      <c r="F14" s="3"/>
    </row>
    <row r="15" spans="1:6" ht="14.25" customHeight="1">
      <c r="A15" s="3">
        <v>14</v>
      </c>
      <c r="B15" s="3">
        <v>1</v>
      </c>
      <c r="C15" s="3">
        <v>70</v>
      </c>
      <c r="D15" s="3" t="s">
        <v>494</v>
      </c>
      <c r="E15" s="3"/>
      <c r="F15" s="3"/>
    </row>
    <row r="16" spans="1:6" ht="14.25" customHeight="1">
      <c r="A16" s="3">
        <v>15</v>
      </c>
      <c r="B16" s="3">
        <v>0</v>
      </c>
      <c r="C16" s="3">
        <v>80</v>
      </c>
      <c r="D16" s="3" t="s">
        <v>495</v>
      </c>
      <c r="E16" s="3"/>
      <c r="F16" s="3"/>
    </row>
    <row r="17" spans="1:6" ht="14.25" customHeight="1">
      <c r="A17" s="3">
        <v>16</v>
      </c>
      <c r="B17" s="3">
        <v>1</v>
      </c>
      <c r="C17" s="3">
        <v>85</v>
      </c>
      <c r="D17" s="3" t="s">
        <v>496</v>
      </c>
      <c r="E17" s="3"/>
      <c r="F17" s="3"/>
    </row>
    <row r="18" spans="1:6" ht="14.25" customHeight="1">
      <c r="A18" s="3">
        <v>17</v>
      </c>
      <c r="B18" s="3">
        <v>0</v>
      </c>
      <c r="C18" s="3">
        <v>80</v>
      </c>
      <c r="D18" s="3" t="s">
        <v>497</v>
      </c>
      <c r="E18" s="3"/>
      <c r="F18" s="3"/>
    </row>
    <row r="19" spans="1:6" ht="14.25" customHeight="1">
      <c r="A19" s="3">
        <v>18</v>
      </c>
      <c r="B19" s="3">
        <v>1</v>
      </c>
      <c r="C19" s="3">
        <v>95</v>
      </c>
      <c r="D19" s="3" t="s">
        <v>498</v>
      </c>
      <c r="E19" s="3"/>
      <c r="F19" s="3"/>
    </row>
    <row r="20" spans="1:6" ht="14.25" customHeight="1">
      <c r="A20" s="3">
        <v>19</v>
      </c>
      <c r="B20" s="3">
        <v>1</v>
      </c>
      <c r="C20" s="3">
        <v>95</v>
      </c>
      <c r="D20" s="3" t="s">
        <v>499</v>
      </c>
      <c r="E20" s="3"/>
      <c r="F20" s="3"/>
    </row>
    <row r="21" spans="1:6" ht="14.25" customHeight="1">
      <c r="A21" s="3">
        <v>20</v>
      </c>
      <c r="B21" s="3">
        <v>1</v>
      </c>
      <c r="C21" s="3">
        <v>85</v>
      </c>
      <c r="D21" s="3" t="s">
        <v>500</v>
      </c>
      <c r="E21" s="3"/>
      <c r="F21" s="3"/>
    </row>
    <row r="22" spans="1:6" ht="14.25" customHeight="1">
      <c r="A22" s="3">
        <v>21</v>
      </c>
      <c r="B22" s="3">
        <v>1</v>
      </c>
      <c r="C22" s="3">
        <v>70</v>
      </c>
      <c r="D22" s="3" t="s">
        <v>501</v>
      </c>
      <c r="E22" s="3"/>
      <c r="F22" s="3"/>
    </row>
    <row r="23" spans="1:6" ht="14.25" customHeight="1">
      <c r="A23" s="3">
        <v>22</v>
      </c>
      <c r="B23" s="3">
        <v>1</v>
      </c>
      <c r="C23" s="3">
        <v>85</v>
      </c>
      <c r="D23" s="3" t="s">
        <v>502</v>
      </c>
      <c r="E23" s="3"/>
      <c r="F23" s="3"/>
    </row>
    <row r="24" spans="1:6" ht="14.25" customHeight="1">
      <c r="A24" s="3">
        <v>23</v>
      </c>
      <c r="B24" s="3">
        <v>1</v>
      </c>
      <c r="C24" s="3">
        <v>85</v>
      </c>
      <c r="D24" s="3" t="s">
        <v>503</v>
      </c>
      <c r="E24" s="3"/>
      <c r="F24" s="3"/>
    </row>
    <row r="25" spans="1:6" ht="14.25" customHeight="1">
      <c r="A25" s="3">
        <v>24</v>
      </c>
      <c r="B25" s="3">
        <v>1</v>
      </c>
      <c r="C25" s="3">
        <v>85</v>
      </c>
      <c r="D25" s="3" t="s">
        <v>504</v>
      </c>
      <c r="E25" s="3"/>
      <c r="F25" s="3"/>
    </row>
    <row r="26" spans="1:6" ht="14.25" customHeight="1">
      <c r="A26" s="3">
        <v>25</v>
      </c>
      <c r="B26" s="3">
        <v>1</v>
      </c>
      <c r="C26" s="3">
        <v>95</v>
      </c>
      <c r="D26" s="3" t="s">
        <v>505</v>
      </c>
      <c r="E26" s="3"/>
      <c r="F26" s="3"/>
    </row>
    <row r="27" spans="1:6" ht="14.25" customHeight="1">
      <c r="A27" s="3">
        <v>26</v>
      </c>
      <c r="B27" s="3">
        <v>1</v>
      </c>
      <c r="C27" s="3">
        <v>95</v>
      </c>
      <c r="D27" s="3" t="s">
        <v>506</v>
      </c>
      <c r="E27" s="3"/>
      <c r="F27" s="3"/>
    </row>
    <row r="28" spans="1:6" ht="14.25" customHeight="1">
      <c r="A28" s="3">
        <v>27</v>
      </c>
      <c r="B28" s="3">
        <v>1</v>
      </c>
      <c r="C28" s="3">
        <v>95</v>
      </c>
      <c r="D28" s="3" t="s">
        <v>507</v>
      </c>
      <c r="E28" s="3"/>
      <c r="F28" s="3"/>
    </row>
    <row r="29" spans="1:6" ht="14.25" customHeight="1">
      <c r="A29" s="3">
        <v>28</v>
      </c>
      <c r="B29" s="3">
        <v>1</v>
      </c>
      <c r="C29" s="3">
        <v>85</v>
      </c>
      <c r="D29" s="3" t="s">
        <v>508</v>
      </c>
      <c r="E29" s="3"/>
      <c r="F29" s="3"/>
    </row>
    <row r="30" spans="1:6" ht="14.25" customHeight="1">
      <c r="A30" s="3">
        <v>29</v>
      </c>
      <c r="B30" s="3">
        <v>1</v>
      </c>
      <c r="C30" s="3">
        <v>85</v>
      </c>
      <c r="D30" s="3" t="s">
        <v>509</v>
      </c>
      <c r="E30" s="3"/>
      <c r="F30" s="3"/>
    </row>
    <row r="31" spans="1:6" ht="14.25" customHeight="1">
      <c r="A31" s="3">
        <v>30</v>
      </c>
      <c r="B31" s="3">
        <v>0</v>
      </c>
      <c r="C31" s="3">
        <v>65</v>
      </c>
      <c r="D31" s="3" t="s">
        <v>510</v>
      </c>
      <c r="E31" s="3"/>
      <c r="F31" s="3"/>
    </row>
    <row r="32" spans="1:6" ht="14.25" customHeight="1">
      <c r="A32" s="4">
        <v>31</v>
      </c>
      <c r="B32" s="4">
        <v>1</v>
      </c>
      <c r="C32" s="4">
        <v>95</v>
      </c>
      <c r="D32" s="4" t="s">
        <v>511</v>
      </c>
    </row>
    <row r="33" spans="1:4" ht="14.25" customHeight="1">
      <c r="A33" s="4">
        <v>32</v>
      </c>
      <c r="B33" s="4">
        <v>0</v>
      </c>
      <c r="C33" s="4">
        <v>90</v>
      </c>
      <c r="D33" s="4" t="s">
        <v>512</v>
      </c>
    </row>
    <row r="34" spans="1:4" ht="14.25" customHeight="1">
      <c r="A34" s="4">
        <v>33</v>
      </c>
      <c r="B34" s="4">
        <v>0</v>
      </c>
      <c r="C34" s="4">
        <v>90</v>
      </c>
      <c r="D34" s="4" t="s">
        <v>513</v>
      </c>
    </row>
    <row r="35" spans="1:4" ht="14.25" customHeight="1">
      <c r="A35" s="4">
        <v>34</v>
      </c>
      <c r="B35" s="4">
        <v>0</v>
      </c>
      <c r="C35" s="4">
        <v>65</v>
      </c>
      <c r="D35" s="4" t="s">
        <v>514</v>
      </c>
    </row>
    <row r="36" spans="1:4" ht="14.25" customHeight="1">
      <c r="A36" s="4">
        <v>35</v>
      </c>
      <c r="B36" s="4">
        <v>0</v>
      </c>
      <c r="C36" s="4">
        <v>90</v>
      </c>
      <c r="D36" s="4" t="s">
        <v>515</v>
      </c>
    </row>
    <row r="37" spans="1:4" ht="14.25" customHeight="1">
      <c r="A37" s="4">
        <v>36</v>
      </c>
      <c r="B37" s="4">
        <v>0</v>
      </c>
      <c r="C37" s="4">
        <v>80</v>
      </c>
      <c r="D37" s="4" t="s">
        <v>516</v>
      </c>
    </row>
    <row r="38" spans="1:4" ht="14.25" customHeight="1">
      <c r="A38" s="4">
        <v>37</v>
      </c>
      <c r="B38" s="4">
        <v>1</v>
      </c>
      <c r="C38" s="4">
        <v>95</v>
      </c>
      <c r="D38" s="4" t="s">
        <v>517</v>
      </c>
    </row>
    <row r="39" spans="1:4" ht="14.25" customHeight="1">
      <c r="A39" s="4">
        <v>38</v>
      </c>
      <c r="B39" s="4">
        <v>0</v>
      </c>
      <c r="C39" s="4">
        <v>80</v>
      </c>
      <c r="D39" s="4" t="s">
        <v>518</v>
      </c>
    </row>
    <row r="40" spans="1:4" ht="14.25" customHeight="1">
      <c r="A40" s="4">
        <v>39</v>
      </c>
      <c r="B40" s="4">
        <v>1</v>
      </c>
      <c r="C40" s="4">
        <v>95</v>
      </c>
      <c r="D40" s="4" t="s">
        <v>519</v>
      </c>
    </row>
    <row r="41" spans="1:4" ht="14.25" customHeight="1">
      <c r="A41" s="4">
        <v>40</v>
      </c>
      <c r="B41" s="4">
        <v>1</v>
      </c>
      <c r="C41" s="4">
        <v>85</v>
      </c>
      <c r="D41" s="4" t="s">
        <v>520</v>
      </c>
    </row>
    <row r="42" spans="1:4" ht="14.25" customHeight="1">
      <c r="A42" s="4">
        <v>41</v>
      </c>
      <c r="B42" s="4">
        <v>1</v>
      </c>
      <c r="C42" s="4">
        <v>85</v>
      </c>
      <c r="D42" s="4" t="s">
        <v>521</v>
      </c>
    </row>
    <row r="43" spans="1:4" ht="14.25" customHeight="1">
      <c r="A43" s="4">
        <v>42</v>
      </c>
      <c r="B43" s="4">
        <v>0</v>
      </c>
      <c r="C43" s="4">
        <v>65</v>
      </c>
      <c r="D43" s="4" t="s">
        <v>522</v>
      </c>
    </row>
    <row r="44" spans="1:4" ht="14.25" customHeight="1">
      <c r="A44" s="4">
        <v>43</v>
      </c>
      <c r="B44" s="4">
        <v>0</v>
      </c>
      <c r="C44" s="4">
        <v>80</v>
      </c>
      <c r="D44" s="4" t="s">
        <v>523</v>
      </c>
    </row>
    <row r="45" spans="1:4" ht="14.25" customHeight="1">
      <c r="A45" s="4">
        <v>44</v>
      </c>
      <c r="B45" s="4">
        <v>0</v>
      </c>
      <c r="C45" s="4">
        <v>65</v>
      </c>
      <c r="D45" s="4" t="s">
        <v>492</v>
      </c>
    </row>
    <row r="46" spans="1:4" ht="14.25" customHeight="1">
      <c r="A46" s="4">
        <v>45</v>
      </c>
      <c r="B46" s="4">
        <v>1</v>
      </c>
      <c r="C46" s="4">
        <v>70</v>
      </c>
      <c r="D46" s="4" t="s">
        <v>524</v>
      </c>
    </row>
    <row r="47" spans="1:4" ht="14.25" customHeight="1">
      <c r="A47" s="4">
        <v>46</v>
      </c>
      <c r="B47" s="4">
        <v>0</v>
      </c>
      <c r="C47" s="4">
        <v>90</v>
      </c>
      <c r="D47" s="4" t="s">
        <v>525</v>
      </c>
    </row>
    <row r="48" spans="1:4" ht="14.25" customHeight="1">
      <c r="A48" s="4">
        <v>47</v>
      </c>
      <c r="B48" s="4">
        <v>1</v>
      </c>
      <c r="C48" s="4">
        <v>95</v>
      </c>
      <c r="D48" s="4" t="s">
        <v>526</v>
      </c>
    </row>
    <row r="49" spans="1:4" ht="14.25" customHeight="1">
      <c r="A49" s="4">
        <v>48</v>
      </c>
      <c r="B49" s="4">
        <v>0</v>
      </c>
      <c r="C49" s="4">
        <v>65</v>
      </c>
      <c r="D49" s="4" t="s">
        <v>482</v>
      </c>
    </row>
    <row r="50" spans="1:4" ht="14.25" customHeight="1">
      <c r="A50" s="4">
        <v>49</v>
      </c>
      <c r="B50" s="4">
        <v>1</v>
      </c>
      <c r="C50" s="4">
        <v>95</v>
      </c>
      <c r="D50" s="4" t="s">
        <v>527</v>
      </c>
    </row>
    <row r="51" spans="1:4" ht="14.25" customHeight="1">
      <c r="A51" s="4">
        <v>50</v>
      </c>
      <c r="B51" s="4">
        <v>1</v>
      </c>
      <c r="C51" s="4">
        <v>85</v>
      </c>
      <c r="D51" s="4" t="s">
        <v>528</v>
      </c>
    </row>
    <row r="52" spans="1:4" ht="14.25" customHeight="1">
      <c r="A52" s="4">
        <v>51</v>
      </c>
      <c r="B52" s="4">
        <v>1</v>
      </c>
      <c r="C52" s="4">
        <v>95</v>
      </c>
      <c r="D52" s="4" t="s">
        <v>529</v>
      </c>
    </row>
    <row r="53" spans="1:4" ht="14.25" customHeight="1">
      <c r="A53" s="4">
        <v>52</v>
      </c>
      <c r="B53" s="4">
        <v>0</v>
      </c>
      <c r="C53" s="4">
        <v>90</v>
      </c>
      <c r="D53" s="4" t="s">
        <v>530</v>
      </c>
    </row>
    <row r="54" spans="1:4" ht="14.25" customHeight="1">
      <c r="A54" s="4">
        <v>53</v>
      </c>
      <c r="B54" s="4">
        <v>0</v>
      </c>
      <c r="C54" s="4">
        <v>90</v>
      </c>
      <c r="D54" s="4" t="s">
        <v>531</v>
      </c>
    </row>
    <row r="55" spans="1:4" ht="14.25" customHeight="1">
      <c r="A55" s="4">
        <v>54</v>
      </c>
      <c r="B55" s="4">
        <v>0</v>
      </c>
      <c r="C55" s="4">
        <v>65</v>
      </c>
      <c r="D55" s="4" t="s">
        <v>482</v>
      </c>
    </row>
    <row r="56" spans="1:4" ht="14.25" customHeight="1">
      <c r="A56" s="4">
        <v>55</v>
      </c>
      <c r="B56" s="4">
        <v>1</v>
      </c>
      <c r="C56" s="4">
        <v>95</v>
      </c>
      <c r="D56" s="4" t="s">
        <v>532</v>
      </c>
    </row>
    <row r="57" spans="1:4" ht="14.25" customHeight="1">
      <c r="A57" s="4">
        <v>56</v>
      </c>
      <c r="B57" s="4">
        <v>0</v>
      </c>
      <c r="C57" s="4">
        <v>90</v>
      </c>
      <c r="D57" s="4" t="s">
        <v>533</v>
      </c>
    </row>
    <row r="58" spans="1:4" ht="14.25" customHeight="1">
      <c r="A58" s="4">
        <v>57</v>
      </c>
      <c r="B58" s="4">
        <v>1</v>
      </c>
      <c r="C58" s="4">
        <v>95</v>
      </c>
      <c r="D58" s="4" t="s">
        <v>534</v>
      </c>
    </row>
    <row r="59" spans="1:4" ht="14.25" customHeight="1">
      <c r="A59" s="4">
        <v>58</v>
      </c>
      <c r="B59" s="4">
        <v>1</v>
      </c>
      <c r="C59" s="4">
        <v>95</v>
      </c>
      <c r="D59" s="4" t="s">
        <v>535</v>
      </c>
    </row>
    <row r="60" spans="1:4" ht="14.25" customHeight="1">
      <c r="A60" s="4">
        <v>59</v>
      </c>
      <c r="B60" s="4">
        <v>1</v>
      </c>
      <c r="C60" s="4">
        <v>85</v>
      </c>
      <c r="D60" s="4" t="s">
        <v>536</v>
      </c>
    </row>
    <row r="61" spans="1:4" ht="14.25" customHeight="1">
      <c r="A61" s="4">
        <v>60</v>
      </c>
      <c r="B61" s="4">
        <v>1</v>
      </c>
      <c r="C61" s="4">
        <v>85</v>
      </c>
      <c r="D61" s="4" t="s">
        <v>537</v>
      </c>
    </row>
    <row r="62" spans="1:4" ht="14.25" customHeight="1">
      <c r="A62" s="4">
        <v>61</v>
      </c>
      <c r="B62" s="4">
        <v>1</v>
      </c>
      <c r="C62" s="4">
        <v>85</v>
      </c>
      <c r="D62" s="4" t="s">
        <v>538</v>
      </c>
    </row>
    <row r="63" spans="1:4" ht="14.25" customHeight="1">
      <c r="A63" s="4">
        <v>62</v>
      </c>
      <c r="B63" s="4">
        <v>0</v>
      </c>
      <c r="C63" s="4">
        <v>90</v>
      </c>
      <c r="D63" s="4" t="s">
        <v>487</v>
      </c>
    </row>
    <row r="64" spans="1:4" ht="14.25" customHeight="1">
      <c r="A64" s="4">
        <v>63</v>
      </c>
      <c r="B64" s="4">
        <v>1</v>
      </c>
      <c r="C64" s="4">
        <v>85</v>
      </c>
      <c r="D64" s="4" t="s">
        <v>539</v>
      </c>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row r="1092" ht="14.25" customHeight="1"/>
    <row r="1093" ht="14.25" customHeight="1"/>
    <row r="1094" ht="14.25" customHeight="1"/>
    <row r="1095" ht="14.25" customHeight="1"/>
    <row r="1096" ht="14.25" customHeight="1"/>
    <row r="1097" ht="14.25" customHeight="1"/>
    <row r="1098" ht="14.25" customHeight="1"/>
    <row r="1099" ht="14.25" customHeight="1"/>
    <row r="1100" ht="14.25" customHeight="1"/>
    <row r="1101" ht="14.25" customHeight="1"/>
    <row r="1102" ht="14.25" customHeight="1"/>
    <row r="1103" ht="14.25" customHeight="1"/>
    <row r="1104" ht="14.25" customHeight="1"/>
    <row r="1105" ht="14.25" customHeight="1"/>
    <row r="1106" ht="14.25" customHeight="1"/>
    <row r="1107" ht="14.25" customHeight="1"/>
    <row r="1108" ht="14.25" customHeight="1"/>
    <row r="1109" ht="14.25" customHeight="1"/>
    <row r="1110" ht="14.25" customHeight="1"/>
    <row r="1111" ht="14.25" customHeight="1"/>
    <row r="1112" ht="14.25" customHeight="1"/>
    <row r="1113" ht="14.25" customHeight="1"/>
    <row r="1114" ht="14.25" customHeight="1"/>
    <row r="1115" ht="14.25" customHeight="1"/>
    <row r="1116" ht="14.25" customHeight="1"/>
    <row r="1117" ht="14.25" customHeight="1"/>
    <row r="1118" ht="14.25" customHeight="1"/>
    <row r="1119" ht="14.25" customHeight="1"/>
    <row r="1120" ht="14.25" customHeight="1"/>
    <row r="1121" ht="14.25" customHeight="1"/>
    <row r="1122" ht="14.25" customHeight="1"/>
    <row r="1123" ht="14.25" customHeight="1"/>
    <row r="1124" ht="14.25" customHeight="1"/>
    <row r="1125" ht="14.25" customHeight="1"/>
    <row r="1126" ht="14.25" customHeight="1"/>
    <row r="1127" ht="14.25" customHeight="1"/>
    <row r="1128" ht="14.25" customHeight="1"/>
    <row r="1129" ht="14.25" customHeight="1"/>
    <row r="1130" ht="14.25" customHeight="1"/>
    <row r="1131" ht="14.25" customHeight="1"/>
    <row r="1132" ht="14.25" customHeight="1"/>
    <row r="1133" ht="14.25" customHeight="1"/>
    <row r="1134" ht="14.25" customHeight="1"/>
    <row r="1135" ht="14.25" customHeight="1"/>
    <row r="1136" ht="14.25" customHeight="1"/>
    <row r="1137" ht="14.25" customHeight="1"/>
    <row r="1138" ht="14.25" customHeight="1"/>
    <row r="1139" ht="14.25" customHeight="1"/>
    <row r="1140" ht="14.25" customHeight="1"/>
    <row r="1141" ht="14.25" customHeight="1"/>
    <row r="1142" ht="14.25" customHeight="1"/>
    <row r="1143" ht="14.25" customHeight="1"/>
    <row r="1144" ht="14.25" customHeight="1"/>
    <row r="1145" ht="14.25" customHeight="1"/>
    <row r="1146" ht="14.25" customHeight="1"/>
    <row r="1147" ht="14.25" customHeight="1"/>
    <row r="1148" ht="14.25" customHeight="1"/>
    <row r="1149" ht="14.25" customHeight="1"/>
    <row r="1150" ht="14.25" customHeight="1"/>
    <row r="1151" ht="14.25" customHeight="1"/>
    <row r="1152" ht="14.25" customHeight="1"/>
    <row r="1153" ht="14.25" customHeight="1"/>
    <row r="1154" ht="14.25" customHeight="1"/>
    <row r="1155" ht="14.25" customHeight="1"/>
    <row r="1156" ht="14.25" customHeight="1"/>
    <row r="1157" ht="14.25" customHeight="1"/>
    <row r="1158" ht="14.25" customHeight="1"/>
    <row r="1159" ht="14.25" customHeight="1"/>
    <row r="1160" ht="14.25" customHeight="1"/>
    <row r="1161" ht="14.25" customHeight="1"/>
    <row r="1162" ht="14.25" customHeight="1"/>
    <row r="1163" ht="14.25" customHeight="1"/>
    <row r="1164" ht="14.25" customHeight="1"/>
    <row r="1165" ht="14.25" customHeight="1"/>
    <row r="1166" ht="14.25" customHeight="1"/>
    <row r="1167" ht="14.25" customHeight="1"/>
    <row r="1168" ht="14.25" customHeight="1"/>
    <row r="1169" ht="14.25" customHeight="1"/>
    <row r="1170" ht="14.25" customHeight="1"/>
    <row r="1171" ht="14.25" customHeight="1"/>
    <row r="1172" ht="14.25" customHeight="1"/>
    <row r="1173" ht="14.25" customHeight="1"/>
    <row r="1174" ht="14.25" customHeight="1"/>
    <row r="1175" ht="14.25" customHeight="1"/>
    <row r="1176" ht="14.25" customHeight="1"/>
    <row r="1177" ht="14.25" customHeight="1"/>
    <row r="1178" ht="14.25" customHeight="1"/>
    <row r="1179" ht="14.25" customHeight="1"/>
    <row r="1180" ht="14.25" customHeight="1"/>
    <row r="1181" ht="14.25" customHeight="1"/>
    <row r="1182" ht="14.25" customHeight="1"/>
    <row r="1183" ht="14.25" customHeight="1"/>
    <row r="1184" ht="14.25" customHeight="1"/>
    <row r="1185" ht="14.25" customHeight="1"/>
    <row r="1186" ht="14.25" customHeight="1"/>
    <row r="1187" ht="14.25" customHeight="1"/>
    <row r="1188" ht="14.25" customHeight="1"/>
    <row r="1189" ht="14.25" customHeight="1"/>
    <row r="1190" ht="14.25" customHeight="1"/>
    <row r="1191" ht="14.25" customHeight="1"/>
    <row r="1192" ht="14.25" customHeight="1"/>
    <row r="1193" ht="14.25" customHeight="1"/>
    <row r="1194" ht="14.25" customHeight="1"/>
    <row r="1195" ht="14.25" customHeight="1"/>
    <row r="1196" ht="14.25" customHeight="1"/>
    <row r="1197" ht="14.25" customHeight="1"/>
    <row r="1198" ht="14.25" customHeight="1"/>
    <row r="1199" ht="14.25" customHeight="1"/>
    <row r="1200" ht="14.25" customHeight="1"/>
    <row r="1201" ht="14.25" customHeight="1"/>
    <row r="1202" ht="14.25" customHeight="1"/>
    <row r="1203" ht="14.25" customHeight="1"/>
    <row r="1204" ht="14.25" customHeight="1"/>
    <row r="1205" ht="14.25" customHeight="1"/>
    <row r="1206" ht="14.25" customHeight="1"/>
    <row r="1207" ht="14.25" customHeight="1"/>
    <row r="1208" ht="14.25" customHeight="1"/>
    <row r="1209" ht="14.25" customHeight="1"/>
    <row r="1210" ht="14.25" customHeight="1"/>
    <row r="1211" ht="14.25" customHeight="1"/>
    <row r="1212" ht="14.25" customHeight="1"/>
    <row r="1213" ht="14.25" customHeight="1"/>
    <row r="1214" ht="14.25" customHeight="1"/>
    <row r="1215" ht="14.25" customHeight="1"/>
    <row r="1216" ht="14.25" customHeight="1"/>
    <row r="1217" ht="14.25" customHeight="1"/>
    <row r="1218" ht="14.25" customHeight="1"/>
    <row r="1219" ht="14.25" customHeight="1"/>
    <row r="1220" ht="14.25" customHeight="1"/>
    <row r="1221" ht="14.25" customHeight="1"/>
    <row r="1222" ht="14.25" customHeight="1"/>
    <row r="1223" ht="14.25" customHeight="1"/>
    <row r="1224" ht="14.25" customHeight="1"/>
    <row r="1225" ht="14.25" customHeight="1"/>
    <row r="1226" ht="14.25" customHeight="1"/>
    <row r="1227" ht="14.25" customHeight="1"/>
    <row r="1228" ht="14.25" customHeight="1"/>
    <row r="1229" ht="14.25" customHeight="1"/>
    <row r="1230" ht="14.25" customHeight="1"/>
    <row r="1231" ht="14.25" customHeight="1"/>
    <row r="1232" ht="14.25" customHeight="1"/>
    <row r="1233" ht="14.25" customHeight="1"/>
    <row r="1234" ht="14.25" customHeight="1"/>
    <row r="1235" ht="14.25" customHeight="1"/>
    <row r="1236" ht="14.25" customHeight="1"/>
    <row r="1237" ht="14.25" customHeight="1"/>
    <row r="1238" ht="14.25" customHeight="1"/>
    <row r="1239" ht="14.25" customHeight="1"/>
    <row r="1240" ht="14.25" customHeight="1"/>
    <row r="1241" ht="14.25" customHeight="1"/>
    <row r="1242" ht="14.25" customHeight="1"/>
    <row r="1243" ht="14.25" customHeight="1"/>
    <row r="1244" ht="14.25" customHeight="1"/>
    <row r="1245" ht="14.25" customHeight="1"/>
    <row r="1246" ht="14.25" customHeight="1"/>
    <row r="1247" ht="14.25" customHeight="1"/>
    <row r="1248" ht="14.25" customHeight="1"/>
    <row r="1249" ht="14.25" customHeight="1"/>
    <row r="1250" ht="14.25" customHeight="1"/>
    <row r="1251" ht="14.25" customHeight="1"/>
    <row r="1252" ht="14.25" customHeight="1"/>
    <row r="1253" ht="14.25" customHeight="1"/>
    <row r="1254" ht="14.25" customHeight="1"/>
    <row r="1255" ht="14.25" customHeight="1"/>
    <row r="1256" ht="14.25" customHeight="1"/>
    <row r="1257" ht="14.25" customHeight="1"/>
    <row r="1258" ht="14.25" customHeight="1"/>
    <row r="1259" ht="14.25" customHeight="1"/>
    <row r="1260" ht="14.25" customHeight="1"/>
    <row r="1261" ht="14.25" customHeight="1"/>
    <row r="1262" ht="14.25" customHeight="1"/>
    <row r="1263" ht="14.25" customHeight="1"/>
    <row r="1264" ht="14.25" customHeight="1"/>
    <row r="1265" ht="14.25" customHeight="1"/>
    <row r="1266" ht="14.25" customHeight="1"/>
    <row r="1267" ht="14.25" customHeight="1"/>
    <row r="1268" ht="14.25" customHeight="1"/>
    <row r="1269" ht="14.25" customHeight="1"/>
    <row r="1270" ht="14.25" customHeight="1"/>
    <row r="1271" ht="14.25" customHeight="1"/>
    <row r="1272" ht="14.25" customHeight="1"/>
    <row r="1273" ht="14.25" customHeight="1"/>
    <row r="1274" ht="14.25" customHeight="1"/>
    <row r="1275" ht="14.25" customHeight="1"/>
    <row r="1276" ht="14.25" customHeight="1"/>
    <row r="1277" ht="14.25" customHeight="1"/>
    <row r="1278" ht="14.25" customHeight="1"/>
    <row r="1279" ht="14.25" customHeight="1"/>
    <row r="1280" ht="14.25" customHeight="1"/>
    <row r="1281" ht="14.25" customHeight="1"/>
    <row r="1282" ht="14.25" customHeight="1"/>
    <row r="1283" ht="14.25" customHeight="1"/>
    <row r="1284" ht="14.25" customHeight="1"/>
    <row r="1285" ht="14.25" customHeight="1"/>
    <row r="1286" ht="14.25" customHeight="1"/>
    <row r="1287" ht="14.25" customHeight="1"/>
    <row r="1288" ht="14.25" customHeight="1"/>
    <row r="1289" ht="14.25" customHeight="1"/>
    <row r="1290" ht="14.25" customHeight="1"/>
    <row r="1291" ht="14.25" customHeight="1"/>
    <row r="1292" ht="14.25" customHeight="1"/>
    <row r="1293" ht="14.25" customHeight="1"/>
    <row r="1294" ht="14.25" customHeight="1"/>
    <row r="1295" ht="14.25" customHeight="1"/>
    <row r="1296" ht="14.25" customHeight="1"/>
    <row r="1297" ht="14.25" customHeight="1"/>
    <row r="1298" ht="14.25" customHeight="1"/>
    <row r="1299" ht="14.25" customHeight="1"/>
    <row r="1300" ht="14.25" customHeight="1"/>
    <row r="1301" ht="14.25" customHeight="1"/>
    <row r="1302" ht="14.25" customHeight="1"/>
    <row r="1303" ht="14.25" customHeight="1"/>
    <row r="1304" ht="14.25" customHeight="1"/>
    <row r="1305" ht="14.25" customHeight="1"/>
    <row r="1306" ht="14.25" customHeight="1"/>
    <row r="1307" ht="14.25" customHeight="1"/>
    <row r="1308" ht="14.25" customHeight="1"/>
    <row r="1309" ht="14.25" customHeight="1"/>
    <row r="1310" ht="14.25" customHeight="1"/>
    <row r="1311" ht="14.25" customHeight="1"/>
    <row r="1312" ht="14.25" customHeight="1"/>
    <row r="1313" ht="14.25" customHeight="1"/>
    <row r="1314" ht="14.25" customHeight="1"/>
    <row r="1315" ht="14.25" customHeight="1"/>
    <row r="1316" ht="14.25" customHeight="1"/>
    <row r="1317" ht="14.25" customHeight="1"/>
    <row r="1318" ht="14.25" customHeight="1"/>
    <row r="1319" ht="14.25" customHeight="1"/>
    <row r="1320" ht="14.25" customHeight="1"/>
    <row r="1321" ht="14.25" customHeight="1"/>
    <row r="1322" ht="14.25" customHeight="1"/>
    <row r="1323" ht="14.25" customHeight="1"/>
    <row r="1324" ht="14.25" customHeight="1"/>
    <row r="1325" ht="14.25" customHeight="1"/>
    <row r="1326" ht="14.25" customHeight="1"/>
    <row r="1327" ht="14.25" customHeight="1"/>
    <row r="1328" ht="14.25" customHeight="1"/>
    <row r="1329" ht="14.25" customHeight="1"/>
    <row r="1330" ht="14.25" customHeight="1"/>
    <row r="1331" ht="14.25" customHeight="1"/>
    <row r="1332" ht="14.25" customHeight="1"/>
    <row r="1333" ht="14.25" customHeight="1"/>
    <row r="1334" ht="14.25" customHeight="1"/>
    <row r="1335" ht="14.25" customHeight="1"/>
    <row r="1336" ht="14.25" customHeight="1"/>
    <row r="1337" ht="14.25" customHeight="1"/>
    <row r="1338" ht="14.25" customHeight="1"/>
    <row r="1339" ht="14.25" customHeight="1"/>
    <row r="1340" ht="14.25" customHeight="1"/>
    <row r="1341" ht="14.25" customHeight="1"/>
    <row r="1342" ht="14.25" customHeight="1"/>
    <row r="1343" ht="14.25" customHeight="1"/>
    <row r="1344" ht="14.25" customHeight="1"/>
    <row r="1345" ht="14.25" customHeight="1"/>
    <row r="1346" ht="14.25" customHeight="1"/>
    <row r="1347" ht="14.25" customHeight="1"/>
    <row r="1348" ht="14.25" customHeight="1"/>
    <row r="1349" ht="14.25" customHeight="1"/>
    <row r="1350" ht="14.25" customHeight="1"/>
    <row r="1351" ht="14.25" customHeight="1"/>
    <row r="1352" ht="14.25" customHeight="1"/>
    <row r="1353" ht="14.25" customHeight="1"/>
    <row r="1354" ht="14.25" customHeight="1"/>
    <row r="1355" ht="14.25" customHeight="1"/>
    <row r="1356" ht="14.25" customHeight="1"/>
    <row r="1357" ht="14.25" customHeight="1"/>
    <row r="1358" ht="14.25" customHeight="1"/>
    <row r="1359" ht="14.25" customHeight="1"/>
    <row r="1360" ht="14.25" customHeight="1"/>
    <row r="1361" ht="14.25" customHeight="1"/>
    <row r="1362" ht="14.25" customHeight="1"/>
    <row r="1363" ht="14.25" customHeight="1"/>
    <row r="1364" ht="14.25" customHeight="1"/>
    <row r="1365" ht="14.25" customHeight="1"/>
    <row r="1366" ht="14.25" customHeight="1"/>
    <row r="1367" ht="14.25" customHeight="1"/>
    <row r="1368" ht="14.25" customHeight="1"/>
    <row r="1369" ht="14.25" customHeight="1"/>
    <row r="1370" ht="14.25" customHeight="1"/>
    <row r="1371" ht="14.25" customHeight="1"/>
    <row r="1372" ht="14.25" customHeight="1"/>
    <row r="1373" ht="14.25" customHeight="1"/>
    <row r="1374" ht="14.25" customHeight="1"/>
    <row r="1375" ht="14.25" customHeight="1"/>
    <row r="1376" ht="14.25" customHeight="1"/>
    <row r="1377" ht="14.25" customHeight="1"/>
    <row r="1378" ht="14.25" customHeight="1"/>
    <row r="1379" ht="14.25" customHeight="1"/>
    <row r="1380" ht="14.25" customHeight="1"/>
    <row r="1381" ht="14.25" customHeight="1"/>
    <row r="1382" ht="14.25" customHeight="1"/>
    <row r="1383" ht="14.25" customHeight="1"/>
    <row r="1384" ht="14.25" customHeight="1"/>
    <row r="1385" ht="14.25" customHeight="1"/>
    <row r="1386" ht="14.25" customHeight="1"/>
    <row r="1387" ht="14.25" customHeight="1"/>
    <row r="1388" ht="14.25" customHeight="1"/>
    <row r="1389" ht="14.25" customHeight="1"/>
    <row r="1390" ht="14.25" customHeight="1"/>
    <row r="1391" ht="14.25" customHeight="1"/>
    <row r="1392" ht="14.25" customHeight="1"/>
    <row r="1393" ht="14.25" customHeight="1"/>
    <row r="1394" ht="14.25" customHeight="1"/>
    <row r="1395" ht="14.25" customHeight="1"/>
    <row r="1396" ht="14.25" customHeight="1"/>
    <row r="1397" ht="14.25" customHeight="1"/>
    <row r="1398" ht="14.25" customHeight="1"/>
    <row r="1399" ht="14.25" customHeight="1"/>
    <row r="1400" ht="14.25" customHeight="1"/>
    <row r="1401" ht="14.25" customHeight="1"/>
    <row r="1402" ht="14.25" customHeight="1"/>
    <row r="1403" ht="14.25" customHeight="1"/>
    <row r="1404" ht="14.25" customHeight="1"/>
    <row r="1405" ht="14.25" customHeight="1"/>
    <row r="1406" ht="14.25" customHeight="1"/>
    <row r="1407" ht="14.25" customHeight="1"/>
    <row r="1408" ht="14.25" customHeight="1"/>
    <row r="1409" ht="14.25" customHeight="1"/>
    <row r="1410" ht="14.25" customHeight="1"/>
    <row r="1411" ht="14.25" customHeight="1"/>
    <row r="1412" ht="14.25" customHeight="1"/>
    <row r="1413" ht="14.25" customHeight="1"/>
    <row r="1414" ht="14.25" customHeight="1"/>
    <row r="1415" ht="14.25" customHeight="1"/>
    <row r="1416" ht="14.25" customHeight="1"/>
    <row r="1417" ht="14.25" customHeight="1"/>
    <row r="1418" ht="14.25" customHeight="1"/>
    <row r="1419" ht="14.25" customHeight="1"/>
    <row r="1420" ht="14.25" customHeight="1"/>
    <row r="1421" ht="14.25" customHeight="1"/>
    <row r="1422" ht="14.25" customHeight="1"/>
    <row r="1423" ht="14.25" customHeight="1"/>
    <row r="1424" ht="14.25" customHeight="1"/>
    <row r="1425" ht="14.25" customHeight="1"/>
    <row r="1426" ht="14.25" customHeight="1"/>
    <row r="1427" ht="14.25" customHeight="1"/>
    <row r="1428" ht="14.25" customHeight="1"/>
    <row r="1429" ht="14.25" customHeight="1"/>
    <row r="1430" ht="14.25" customHeight="1"/>
    <row r="1431" ht="14.25" customHeight="1"/>
    <row r="1432" ht="14.25" customHeight="1"/>
    <row r="1433" ht="14.25" customHeight="1"/>
    <row r="1434" ht="14.25" customHeight="1"/>
    <row r="1435" ht="14.25" customHeight="1"/>
    <row r="1436" ht="14.25" customHeight="1"/>
    <row r="1437" ht="14.25" customHeight="1"/>
    <row r="1438" ht="14.25" customHeight="1"/>
    <row r="1439" ht="14.25" customHeight="1"/>
    <row r="1440" ht="14.25" customHeight="1"/>
    <row r="1441" ht="14.25" customHeight="1"/>
    <row r="1442" ht="14.25" customHeight="1"/>
    <row r="1443" ht="14.25" customHeight="1"/>
    <row r="1444" ht="14.25" customHeight="1"/>
    <row r="1445" ht="14.25" customHeight="1"/>
    <row r="1446" ht="14.25" customHeight="1"/>
    <row r="1447" ht="14.25" customHeight="1"/>
    <row r="1448" ht="14.25" customHeight="1"/>
    <row r="1449" ht="14.25" customHeight="1"/>
    <row r="1450" ht="14.25" customHeight="1"/>
    <row r="1451" ht="14.25" customHeight="1"/>
    <row r="1452" ht="14.25" customHeight="1"/>
    <row r="1453" ht="14.25" customHeight="1"/>
    <row r="1454" ht="14.25" customHeight="1"/>
    <row r="1455" ht="14.25" customHeight="1"/>
    <row r="1456" ht="14.25" customHeight="1"/>
    <row r="1457" ht="14.25" customHeight="1"/>
    <row r="1458" ht="14.25" customHeight="1"/>
    <row r="1459" ht="14.25" customHeight="1"/>
    <row r="1460" ht="14.25" customHeight="1"/>
    <row r="1461" ht="14.25" customHeight="1"/>
    <row r="1462" ht="14.25" customHeight="1"/>
    <row r="1463" ht="14.25" customHeight="1"/>
    <row r="1464" ht="14.25" customHeight="1"/>
    <row r="1465" ht="14.25" customHeight="1"/>
    <row r="1466" ht="14.25" customHeight="1"/>
    <row r="1467" ht="14.25" customHeight="1"/>
    <row r="1468" ht="14.25" customHeight="1"/>
    <row r="1469" ht="14.25" customHeight="1"/>
    <row r="1470" ht="14.25" customHeight="1"/>
    <row r="1471" ht="14.25" customHeight="1"/>
    <row r="1472" ht="14.25" customHeight="1"/>
    <row r="1473" ht="14.25" customHeight="1"/>
    <row r="1474" ht="14.25" customHeight="1"/>
    <row r="1475" ht="14.25" customHeight="1"/>
    <row r="1476" ht="14.25" customHeight="1"/>
    <row r="1477" ht="14.25" customHeight="1"/>
    <row r="1478" ht="14.25" customHeight="1"/>
    <row r="1479" ht="14.25" customHeight="1"/>
    <row r="1480" ht="14.25" customHeight="1"/>
    <row r="1481" ht="14.25" customHeight="1"/>
    <row r="1482" ht="14.25" customHeight="1"/>
    <row r="1483" ht="14.25" customHeight="1"/>
    <row r="1484" ht="14.25" customHeight="1"/>
    <row r="1485" ht="14.25" customHeight="1"/>
    <row r="1486" ht="14.25" customHeight="1"/>
    <row r="1487" ht="14.25" customHeight="1"/>
    <row r="1488" ht="14.25" customHeight="1"/>
    <row r="1489" ht="14.25" customHeight="1"/>
    <row r="1490" ht="14.25" customHeight="1"/>
    <row r="1491" ht="14.25" customHeight="1"/>
    <row r="1492" ht="14.25" customHeight="1"/>
    <row r="1493" ht="14.25" customHeight="1"/>
    <row r="1494" ht="14.25" customHeight="1"/>
    <row r="1495" ht="14.25" customHeight="1"/>
    <row r="1496" ht="14.25" customHeight="1"/>
    <row r="1497" ht="14.25" customHeight="1"/>
    <row r="1498" ht="14.25" customHeight="1"/>
    <row r="1499" ht="14.25" customHeight="1"/>
    <row r="1500" ht="14.25" customHeight="1"/>
    <row r="1501" ht="14.25" customHeight="1"/>
    <row r="1502" ht="14.25" customHeight="1"/>
    <row r="1503" ht="14.25" customHeight="1"/>
    <row r="1504" ht="14.25" customHeight="1"/>
    <row r="1505" ht="14.25" customHeight="1"/>
    <row r="1506" ht="14.25" customHeight="1"/>
    <row r="1507" ht="14.25" customHeight="1"/>
    <row r="1508" ht="14.25" customHeight="1"/>
    <row r="1509" ht="14.25" customHeight="1"/>
    <row r="1510" ht="14.25" customHeight="1"/>
    <row r="1511" ht="14.25" customHeight="1"/>
    <row r="1512" ht="14.25" customHeight="1"/>
    <row r="1513" ht="14.25" customHeight="1"/>
    <row r="1514" ht="14.25" customHeight="1"/>
    <row r="1515" ht="14.25" customHeight="1"/>
    <row r="1516" ht="14.25" customHeight="1"/>
    <row r="1517" ht="14.25" customHeight="1"/>
    <row r="1518" ht="14.25" customHeight="1"/>
    <row r="1519" ht="14.25" customHeight="1"/>
    <row r="1520" ht="14.25" customHeight="1"/>
    <row r="1521" ht="14.25" customHeight="1"/>
    <row r="1522" ht="14.25" customHeight="1"/>
    <row r="1523" ht="14.25" customHeight="1"/>
    <row r="1524" ht="14.25" customHeight="1"/>
    <row r="1525" ht="14.25" customHeight="1"/>
    <row r="1526" ht="14.25" customHeight="1"/>
    <row r="1527" ht="14.25" customHeight="1"/>
    <row r="1528" ht="14.25" customHeight="1"/>
    <row r="1529" ht="14.25" customHeight="1"/>
    <row r="1530" ht="14.25" customHeight="1"/>
    <row r="1531" ht="14.25" customHeight="1"/>
    <row r="1532" ht="14.25" customHeight="1"/>
    <row r="1533" ht="14.25" customHeight="1"/>
    <row r="1534" ht="14.25" customHeight="1"/>
    <row r="1535" ht="14.25" customHeight="1"/>
    <row r="1536" ht="14.25" customHeight="1"/>
    <row r="1537" ht="14.25" customHeight="1"/>
    <row r="1538" ht="14.25" customHeight="1"/>
    <row r="1539" ht="14.25" customHeight="1"/>
    <row r="1540" ht="14.25" customHeight="1"/>
    <row r="1541" ht="14.25" customHeight="1"/>
    <row r="1542" ht="14.25" customHeight="1"/>
    <row r="1543" ht="14.25" customHeight="1"/>
    <row r="1544" ht="14.25" customHeight="1"/>
    <row r="1545" ht="14.25" customHeight="1"/>
    <row r="1546" ht="14.25" customHeight="1"/>
    <row r="1547" ht="14.25" customHeight="1"/>
    <row r="1548" ht="14.25" customHeight="1"/>
    <row r="1549" ht="14.25" customHeight="1"/>
    <row r="1550" ht="14.25" customHeight="1"/>
    <row r="1551" ht="14.25" customHeight="1"/>
    <row r="1552" ht="14.25" customHeight="1"/>
    <row r="1553" ht="14.25" customHeight="1"/>
    <row r="1554" ht="14.25" customHeight="1"/>
    <row r="1555" ht="14.25" customHeight="1"/>
    <row r="1556" ht="14.25" customHeight="1"/>
    <row r="1557" ht="14.25" customHeight="1"/>
    <row r="1558" ht="14.25" customHeight="1"/>
    <row r="1559" ht="14.25" customHeight="1"/>
    <row r="1560" ht="14.25" customHeight="1"/>
    <row r="1561" ht="14.25" customHeight="1"/>
    <row r="1562" ht="14.25" customHeight="1"/>
    <row r="1563" ht="14.25" customHeight="1"/>
    <row r="1564" ht="14.25" customHeight="1"/>
    <row r="1565" ht="14.25" customHeight="1"/>
    <row r="1566" ht="14.25" customHeight="1"/>
    <row r="1567" ht="14.25" customHeight="1"/>
    <row r="1568" ht="14.25" customHeight="1"/>
    <row r="1569" ht="14.25" customHeight="1"/>
    <row r="1570" ht="14.25" customHeight="1"/>
    <row r="1571" ht="14.25" customHeight="1"/>
    <row r="1572" ht="14.25" customHeight="1"/>
    <row r="1573" ht="14.25" customHeight="1"/>
    <row r="1574" ht="14.25" customHeight="1"/>
    <row r="1575" ht="14.25" customHeight="1"/>
    <row r="1576" ht="14.25" customHeight="1"/>
    <row r="1577" ht="14.25" customHeight="1"/>
    <row r="1578" ht="14.25" customHeight="1"/>
    <row r="1579" ht="14.25" customHeight="1"/>
    <row r="1580" ht="14.25" customHeight="1"/>
    <row r="1581" ht="14.25" customHeight="1"/>
    <row r="1582" ht="14.25" customHeight="1"/>
    <row r="1583" ht="14.25" customHeight="1"/>
    <row r="1584" ht="14.25" customHeight="1"/>
    <row r="1585" ht="14.25" customHeight="1"/>
    <row r="1586" ht="14.25" customHeight="1"/>
    <row r="1587" ht="14.25" customHeight="1"/>
    <row r="1588" ht="14.25" customHeight="1"/>
    <row r="1589" ht="14.25" customHeight="1"/>
    <row r="1590" ht="14.25" customHeight="1"/>
    <row r="1591" ht="14.25" customHeight="1"/>
    <row r="1592" ht="14.25" customHeight="1"/>
    <row r="1593" ht="14.25" customHeight="1"/>
    <row r="1594" ht="14.25" customHeight="1"/>
    <row r="1595" ht="14.25" customHeight="1"/>
    <row r="1596" ht="14.25" customHeight="1"/>
    <row r="1597" ht="14.25" customHeight="1"/>
    <row r="1598" ht="14.25" customHeight="1"/>
    <row r="1599" ht="14.25" customHeight="1"/>
    <row r="1600" ht="14.25" customHeight="1"/>
    <row r="1601" ht="14.25" customHeight="1"/>
    <row r="1602" ht="14.25" customHeight="1"/>
    <row r="1603" ht="14.25" customHeight="1"/>
    <row r="1604" ht="14.25" customHeight="1"/>
    <row r="1605" ht="14.25" customHeight="1"/>
    <row r="1606" ht="14.25" customHeight="1"/>
    <row r="1607" ht="14.25" customHeight="1"/>
    <row r="1608" ht="14.25" customHeight="1"/>
    <row r="1609" ht="14.25" customHeight="1"/>
    <row r="1610" ht="14.25" customHeight="1"/>
    <row r="1611" ht="14.25" customHeight="1"/>
    <row r="1612" ht="14.25" customHeight="1"/>
    <row r="1613" ht="14.25" customHeight="1"/>
    <row r="1614" ht="14.25" customHeight="1"/>
    <row r="1615" ht="14.25" customHeight="1"/>
    <row r="1616" ht="14.25" customHeight="1"/>
    <row r="1617" ht="14.25" customHeight="1"/>
    <row r="1618" ht="14.25" customHeight="1"/>
    <row r="1619" ht="14.25" customHeight="1"/>
    <row r="1620" ht="14.25" customHeight="1"/>
    <row r="1621" ht="14.25" customHeight="1"/>
    <row r="1622" ht="14.25" customHeight="1"/>
    <row r="1623" ht="14.25" customHeight="1"/>
    <row r="1624" ht="14.25" customHeight="1"/>
    <row r="1625" ht="14.25" customHeight="1"/>
    <row r="1626" ht="14.25" customHeight="1"/>
    <row r="1627" ht="14.25" customHeight="1"/>
    <row r="1628" ht="14.25" customHeight="1"/>
    <row r="1629" ht="14.25" customHeight="1"/>
    <row r="1630" ht="14.25" customHeight="1"/>
    <row r="1631" ht="14.25" customHeight="1"/>
    <row r="1632" ht="14.25" customHeight="1"/>
    <row r="1633" ht="14.25" customHeight="1"/>
    <row r="1634" ht="14.25" customHeight="1"/>
    <row r="1635" ht="14.25" customHeight="1"/>
    <row r="1636" ht="14.25" customHeight="1"/>
    <row r="1637" ht="14.25" customHeight="1"/>
    <row r="1638" ht="14.25" customHeight="1"/>
    <row r="1639" ht="14.25" customHeight="1"/>
    <row r="1640" ht="14.25" customHeight="1"/>
    <row r="1641" ht="14.25" customHeight="1"/>
    <row r="1642" ht="14.25" customHeight="1"/>
    <row r="1643" ht="14.25" customHeight="1"/>
    <row r="1644" ht="14.25" customHeight="1"/>
    <row r="1645" ht="14.25" customHeight="1"/>
    <row r="1646" ht="14.25" customHeight="1"/>
    <row r="1647" ht="14.25" customHeight="1"/>
    <row r="1648" ht="14.25" customHeight="1"/>
    <row r="1649" ht="14.25" customHeight="1"/>
    <row r="1650" ht="14.25" customHeight="1"/>
    <row r="1651" ht="14.25" customHeight="1"/>
    <row r="1652" ht="14.25" customHeight="1"/>
    <row r="1653" ht="14.25" customHeight="1"/>
    <row r="1654" ht="14.25" customHeight="1"/>
    <row r="1655" ht="14.25" customHeight="1"/>
    <row r="1656" ht="14.25" customHeight="1"/>
    <row r="1657" ht="14.25" customHeight="1"/>
    <row r="1658" ht="14.25" customHeight="1"/>
    <row r="1659" ht="14.25" customHeight="1"/>
    <row r="1660" ht="14.25" customHeight="1"/>
    <row r="1661" ht="14.25" customHeight="1"/>
    <row r="1662" ht="14.25" customHeight="1"/>
    <row r="1663" ht="14.25" customHeight="1"/>
    <row r="1664" ht="14.25" customHeight="1"/>
    <row r="1665" ht="14.25" customHeight="1"/>
    <row r="1666" ht="14.25" customHeight="1"/>
    <row r="1667" ht="14.25" customHeight="1"/>
    <row r="1668" ht="14.25" customHeight="1"/>
    <row r="1669" ht="14.25" customHeight="1"/>
    <row r="1670" ht="14.25" customHeight="1"/>
    <row r="1671" ht="14.25" customHeight="1"/>
    <row r="1672" ht="14.25" customHeight="1"/>
    <row r="1673" ht="14.25" customHeight="1"/>
    <row r="1674" ht="14.25" customHeight="1"/>
    <row r="1675" ht="14.25" customHeight="1"/>
    <row r="1676" ht="14.25" customHeight="1"/>
    <row r="1677" ht="14.25" customHeight="1"/>
    <row r="1678" ht="14.25" customHeight="1"/>
    <row r="1679" ht="14.25" customHeight="1"/>
    <row r="1680" ht="14.25" customHeight="1"/>
    <row r="1681" ht="14.25" customHeight="1"/>
    <row r="1682" ht="14.25" customHeight="1"/>
    <row r="1683" ht="14.25" customHeight="1"/>
    <row r="1684" ht="14.25" customHeight="1"/>
    <row r="1685" ht="14.25" customHeight="1"/>
    <row r="1686" ht="14.25" customHeight="1"/>
    <row r="1687" ht="14.25" customHeight="1"/>
    <row r="1688" ht="14.25" customHeight="1"/>
    <row r="1689" ht="14.25" customHeight="1"/>
    <row r="1690" ht="14.25" customHeight="1"/>
    <row r="1691" ht="14.25" customHeight="1"/>
    <row r="1692" ht="14.25" customHeight="1"/>
    <row r="1693" ht="14.25" customHeight="1"/>
    <row r="1694" ht="14.25" customHeight="1"/>
    <row r="1695" ht="14.25" customHeight="1"/>
    <row r="1696" ht="14.25" customHeight="1"/>
    <row r="1697" ht="14.25" customHeight="1"/>
    <row r="1698" ht="14.25" customHeight="1"/>
    <row r="1699" ht="14.25" customHeight="1"/>
    <row r="1700" ht="14.25" customHeight="1"/>
    <row r="1701" ht="14.25" customHeight="1"/>
    <row r="1702" ht="14.25" customHeight="1"/>
    <row r="1703" ht="14.25" customHeight="1"/>
    <row r="1704" ht="14.25" customHeight="1"/>
    <row r="1705" ht="14.25" customHeight="1"/>
    <row r="1706" ht="14.25" customHeight="1"/>
    <row r="1707" ht="14.25" customHeight="1"/>
    <row r="1708" ht="14.25" customHeight="1"/>
    <row r="1709" ht="14.25" customHeight="1"/>
    <row r="1710" ht="14.25" customHeight="1"/>
    <row r="1711" ht="14.25" customHeight="1"/>
    <row r="1712" ht="14.25" customHeight="1"/>
    <row r="1713" ht="14.25" customHeight="1"/>
    <row r="1714" ht="14.25" customHeight="1"/>
    <row r="1715" ht="14.25" customHeight="1"/>
    <row r="1716" ht="14.25" customHeight="1"/>
    <row r="1717" ht="14.25" customHeight="1"/>
    <row r="1718" ht="14.25" customHeight="1"/>
    <row r="1719" ht="14.25" customHeight="1"/>
    <row r="1720" ht="14.25" customHeight="1"/>
    <row r="1721" ht="14.25" customHeight="1"/>
    <row r="1722" ht="14.25" customHeight="1"/>
    <row r="1723" ht="14.25" customHeight="1"/>
    <row r="1724" ht="14.25" customHeight="1"/>
    <row r="1725" ht="14.25" customHeight="1"/>
    <row r="1726" ht="14.25" customHeight="1"/>
    <row r="1727" ht="14.25" customHeight="1"/>
    <row r="1728" ht="14.25" customHeight="1"/>
    <row r="1729" ht="14.25" customHeight="1"/>
    <row r="1730" ht="14.25" customHeight="1"/>
    <row r="1731" ht="14.25" customHeight="1"/>
    <row r="1732" ht="14.25" customHeight="1"/>
    <row r="1733" ht="14.25" customHeight="1"/>
    <row r="1734" ht="14.25" customHeight="1"/>
    <row r="1735" ht="14.25" customHeight="1"/>
    <row r="1736" ht="14.25" customHeight="1"/>
    <row r="1737" ht="14.25" customHeight="1"/>
    <row r="1738" ht="14.25" customHeight="1"/>
    <row r="1739" ht="14.25" customHeight="1"/>
    <row r="1740" ht="14.25" customHeight="1"/>
    <row r="1741" ht="14.25" customHeight="1"/>
    <row r="1742" ht="14.25" customHeight="1"/>
    <row r="1743" ht="14.25" customHeight="1"/>
    <row r="1744" ht="14.25" customHeight="1"/>
    <row r="1745" ht="14.25" customHeight="1"/>
    <row r="1746" ht="14.25" customHeight="1"/>
    <row r="1747" ht="14.25" customHeight="1"/>
    <row r="1748" ht="14.25" customHeight="1"/>
    <row r="1749" ht="14.25" customHeight="1"/>
    <row r="1750" ht="14.25" customHeight="1"/>
    <row r="1751" ht="14.25" customHeight="1"/>
    <row r="1752" ht="14.25" customHeight="1"/>
    <row r="1753" ht="14.25" customHeight="1"/>
    <row r="1754" ht="14.25" customHeight="1"/>
    <row r="1755" ht="14.25" customHeight="1"/>
    <row r="1756" ht="14.25" customHeight="1"/>
    <row r="1757" ht="14.25" customHeight="1"/>
    <row r="1758" ht="14.25" customHeight="1"/>
    <row r="1759" ht="14.25" customHeight="1"/>
    <row r="1760" ht="14.25" customHeight="1"/>
    <row r="1761" ht="14.25" customHeight="1"/>
    <row r="1762" ht="14.25" customHeight="1"/>
    <row r="1763" ht="14.25" customHeight="1"/>
    <row r="1764" ht="14.25" customHeight="1"/>
    <row r="1765" ht="14.25" customHeight="1"/>
    <row r="1766" ht="14.25" customHeight="1"/>
    <row r="1767" ht="14.25" customHeight="1"/>
    <row r="1768" ht="14.25" customHeight="1"/>
    <row r="1769" ht="14.25" customHeight="1"/>
    <row r="1770" ht="14.25" customHeight="1"/>
    <row r="1771" ht="14.25" customHeight="1"/>
    <row r="1772" ht="14.25" customHeight="1"/>
    <row r="1773" ht="14.25" customHeight="1"/>
    <row r="1774" ht="14.25" customHeight="1"/>
    <row r="1775" ht="14.25" customHeight="1"/>
    <row r="1776" ht="14.25" customHeight="1"/>
    <row r="1777" ht="14.25" customHeight="1"/>
    <row r="1778" ht="14.25" customHeight="1"/>
    <row r="1779" ht="14.25" customHeight="1"/>
    <row r="1780" ht="14.25" customHeight="1"/>
    <row r="1781" ht="14.25" customHeight="1"/>
    <row r="1782" ht="14.25" customHeight="1"/>
    <row r="1783" ht="14.25" customHeight="1"/>
    <row r="1784" ht="14.25" customHeight="1"/>
    <row r="1785" ht="14.25" customHeight="1"/>
    <row r="1786" ht="14.25" customHeight="1"/>
    <row r="1787" ht="14.25" customHeight="1"/>
    <row r="1788" ht="14.25" customHeight="1"/>
    <row r="1789" ht="14.25" customHeight="1"/>
    <row r="1790" ht="14.25" customHeight="1"/>
    <row r="1791" ht="14.25" customHeight="1"/>
    <row r="1792" ht="14.25" customHeight="1"/>
    <row r="1793" ht="14.25" customHeight="1"/>
    <row r="1794" ht="14.25" customHeight="1"/>
    <row r="1795" ht="14.25" customHeight="1"/>
    <row r="1796" ht="14.25" customHeight="1"/>
    <row r="1797" ht="14.25" customHeight="1"/>
    <row r="1798" ht="14.25" customHeight="1"/>
    <row r="1799" ht="14.25" customHeight="1"/>
    <row r="1800" ht="14.25" customHeight="1"/>
    <row r="1801" ht="14.25" customHeight="1"/>
    <row r="1802" ht="14.25" customHeight="1"/>
    <row r="1803" ht="14.25" customHeight="1"/>
    <row r="1804" ht="14.25" customHeight="1"/>
    <row r="1805" ht="14.25" customHeight="1"/>
    <row r="1806" ht="14.25" customHeight="1"/>
    <row r="1807" ht="14.25" customHeight="1"/>
    <row r="1808" ht="14.25" customHeight="1"/>
    <row r="1809" ht="14.25" customHeight="1"/>
    <row r="1810" ht="14.25" customHeight="1"/>
    <row r="1811" ht="14.25" customHeight="1"/>
    <row r="1812" ht="14.25" customHeight="1"/>
    <row r="1813" ht="14.25" customHeight="1"/>
    <row r="1814" ht="14.25" customHeight="1"/>
    <row r="1815" ht="14.25" customHeight="1"/>
    <row r="1816" ht="14.25" customHeight="1"/>
    <row r="1817" ht="14.25" customHeight="1"/>
    <row r="1818" ht="14.25" customHeight="1"/>
    <row r="1819" ht="14.25" customHeight="1"/>
    <row r="1820" ht="14.25" customHeight="1"/>
    <row r="1821" ht="14.25" customHeight="1"/>
    <row r="1822" ht="14.25" customHeight="1"/>
    <row r="1823" ht="14.25" customHeight="1"/>
    <row r="1824" ht="14.25" customHeight="1"/>
    <row r="1825" ht="14.25" customHeight="1"/>
    <row r="1826" ht="14.25" customHeight="1"/>
    <row r="1827" ht="14.25" customHeight="1"/>
    <row r="1828" ht="14.25" customHeight="1"/>
    <row r="1829" ht="14.25" customHeight="1"/>
    <row r="1830" ht="14.25" customHeight="1"/>
    <row r="1831" ht="14.25" customHeight="1"/>
    <row r="1832" ht="14.25" customHeight="1"/>
    <row r="1833" ht="14.25" customHeight="1"/>
    <row r="1834" ht="14.25" customHeight="1"/>
    <row r="1835" ht="14.25" customHeight="1"/>
    <row r="1836" ht="14.25" customHeight="1"/>
    <row r="1837" ht="14.25" customHeight="1"/>
    <row r="1838" ht="14.25" customHeight="1"/>
    <row r="1839" ht="14.25" customHeight="1"/>
    <row r="1840" ht="14.25" customHeight="1"/>
    <row r="1841" ht="14.25" customHeight="1"/>
    <row r="1842" ht="14.25" customHeight="1"/>
    <row r="1843" ht="14.25" customHeight="1"/>
    <row r="1844" ht="14.25" customHeight="1"/>
    <row r="1845" ht="14.25" customHeight="1"/>
    <row r="1846" ht="14.25" customHeight="1"/>
    <row r="1847" ht="14.25" customHeight="1"/>
    <row r="1848" ht="14.25" customHeight="1"/>
    <row r="1849" ht="14.25" customHeight="1"/>
    <row r="1850" ht="14.25" customHeight="1"/>
    <row r="1851" ht="14.25" customHeight="1"/>
    <row r="1852" ht="14.25" customHeight="1"/>
    <row r="1853" ht="14.25" customHeight="1"/>
    <row r="1854" ht="14.25" customHeight="1"/>
    <row r="1855" ht="14.25" customHeight="1"/>
    <row r="1856" ht="14.25" customHeight="1"/>
    <row r="1857" ht="14.25" customHeight="1"/>
    <row r="1858" ht="14.25" customHeight="1"/>
    <row r="1859" ht="14.25" customHeight="1"/>
    <row r="1860" ht="14.25" customHeight="1"/>
    <row r="1861" ht="14.25" customHeight="1"/>
    <row r="1862" ht="14.25" customHeight="1"/>
    <row r="1863" ht="14.25" customHeight="1"/>
    <row r="1864" ht="14.25" customHeight="1"/>
    <row r="1865" ht="14.25" customHeight="1"/>
    <row r="1866" ht="14.25" customHeight="1"/>
    <row r="1867" ht="14.25" customHeight="1"/>
    <row r="1868" ht="14.25" customHeight="1"/>
    <row r="1869" ht="14.25" customHeight="1"/>
    <row r="1870" ht="14.25" customHeight="1"/>
    <row r="1871" ht="14.25" customHeight="1"/>
    <row r="1872" ht="14.25" customHeight="1"/>
    <row r="1873" ht="14.25" customHeight="1"/>
    <row r="1874" ht="14.25" customHeight="1"/>
    <row r="1875" ht="14.25" customHeight="1"/>
    <row r="1876" ht="14.25" customHeight="1"/>
    <row r="1877" ht="14.25" customHeight="1"/>
    <row r="1878" ht="14.25" customHeight="1"/>
    <row r="1879" ht="14.25" customHeight="1"/>
    <row r="1880" ht="14.25" customHeight="1"/>
    <row r="1881" ht="14.25" customHeight="1"/>
    <row r="1882" ht="14.25" customHeight="1"/>
    <row r="1883" ht="14.25" customHeight="1"/>
    <row r="1884" ht="14.25" customHeight="1"/>
    <row r="1885" ht="14.25" customHeight="1"/>
    <row r="1886" ht="14.25" customHeight="1"/>
    <row r="1887" ht="14.25" customHeight="1"/>
    <row r="1888" ht="14.25" customHeight="1"/>
    <row r="1889" ht="14.25" customHeight="1"/>
    <row r="1890" ht="14.25" customHeight="1"/>
    <row r="1891" ht="14.25" customHeight="1"/>
    <row r="1892" ht="14.25" customHeight="1"/>
    <row r="1893" ht="14.25" customHeight="1"/>
    <row r="1894" ht="14.25" customHeight="1"/>
    <row r="1895" ht="14.25" customHeight="1"/>
    <row r="1896" ht="14.25" customHeight="1"/>
    <row r="1897" ht="14.25" customHeight="1"/>
    <row r="1898" ht="14.25" customHeight="1"/>
    <row r="1899" ht="14.25" customHeight="1"/>
    <row r="1900" ht="14.25" customHeight="1"/>
    <row r="1901" ht="14.25" customHeight="1"/>
    <row r="1902" ht="14.25" customHeight="1"/>
    <row r="1903" ht="14.25" customHeight="1"/>
    <row r="1904" ht="14.25" customHeight="1"/>
    <row r="1905" ht="14.25" customHeight="1"/>
    <row r="1906" ht="14.25" customHeight="1"/>
    <row r="1907" ht="14.25" customHeight="1"/>
    <row r="1908" ht="14.25" customHeight="1"/>
    <row r="1909" ht="14.25" customHeight="1"/>
    <row r="1910" ht="14.25" customHeight="1"/>
    <row r="1911" ht="14.25" customHeight="1"/>
    <row r="1912" ht="14.25" customHeight="1"/>
    <row r="1913" ht="14.25" customHeight="1"/>
    <row r="1914" ht="14.25" customHeight="1"/>
    <row r="1915" ht="14.25" customHeight="1"/>
    <row r="1916" ht="14.25" customHeight="1"/>
    <row r="1917" ht="14.25" customHeight="1"/>
    <row r="1918" ht="14.25" customHeight="1"/>
    <row r="1919" ht="14.25" customHeight="1"/>
    <row r="1920" ht="14.25" customHeight="1"/>
    <row r="1921" ht="14.25" customHeight="1"/>
    <row r="1922" ht="14.25" customHeight="1"/>
    <row r="1923" ht="14.25" customHeight="1"/>
    <row r="1924" ht="14.25" customHeight="1"/>
    <row r="1925" ht="14.25" customHeight="1"/>
    <row r="1926" ht="14.25" customHeight="1"/>
    <row r="1927" ht="14.25" customHeight="1"/>
    <row r="1928" ht="14.25" customHeight="1"/>
    <row r="1929" ht="14.25" customHeight="1"/>
    <row r="1930" ht="14.25" customHeight="1"/>
    <row r="1931" ht="14.25" customHeight="1"/>
    <row r="1932" ht="14.25" customHeight="1"/>
    <row r="1933" ht="14.25" customHeight="1"/>
    <row r="1934" ht="14.25" customHeight="1"/>
    <row r="1935" ht="14.25" customHeight="1"/>
    <row r="1936" ht="14.25" customHeight="1"/>
    <row r="1937" ht="14.25" customHeight="1"/>
    <row r="1938" ht="14.25" customHeight="1"/>
    <row r="1939" ht="14.25" customHeight="1"/>
    <row r="1940" ht="14.25" customHeight="1"/>
    <row r="1941" ht="14.25" customHeight="1"/>
    <row r="1942" ht="14.25" customHeight="1"/>
    <row r="1943" ht="14.25" customHeight="1"/>
    <row r="1944" ht="14.25" customHeight="1"/>
    <row r="1945" ht="14.25" customHeight="1"/>
    <row r="1946" ht="14.25" customHeight="1"/>
    <row r="1947" ht="14.25" customHeight="1"/>
    <row r="1948" ht="14.25" customHeight="1"/>
  </sheetData>
  <pageMargins left="0.7" right="0.7" top="0.75" bottom="0.75" header="0" footer="0"/>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991"/>
  <sheetViews>
    <sheetView tabSelected="1" workbookViewId="0">
      <selection activeCell="D16" sqref="D16"/>
    </sheetView>
  </sheetViews>
  <sheetFormatPr defaultColWidth="12.6640625" defaultRowHeight="15" customHeight="1"/>
  <cols>
    <col min="1" max="1" width="25.88671875" customWidth="1"/>
    <col min="2" max="26" width="8.6640625" customWidth="1"/>
  </cols>
  <sheetData>
    <row r="1" spans="1:10" ht="14.25" customHeight="1">
      <c r="A1" s="16" t="s">
        <v>11</v>
      </c>
      <c r="B1" s="17" t="s">
        <v>540</v>
      </c>
      <c r="J1" s="23"/>
    </row>
    <row r="2" spans="1:10" ht="14.25" customHeight="1">
      <c r="A2" s="18"/>
    </row>
    <row r="3" spans="1:10" ht="14.25" customHeight="1">
      <c r="A3" s="16" t="s">
        <v>12</v>
      </c>
      <c r="B3" s="17" t="s">
        <v>541</v>
      </c>
      <c r="J3" s="4"/>
    </row>
    <row r="4" spans="1:10" ht="14.25" customHeight="1">
      <c r="A4" s="18"/>
    </row>
    <row r="5" spans="1:10" ht="14.25" customHeight="1">
      <c r="A5" s="16" t="s">
        <v>542</v>
      </c>
      <c r="B5" s="17" t="s">
        <v>543</v>
      </c>
      <c r="J5" s="4"/>
    </row>
    <row r="6" spans="1:10" ht="14.25" customHeight="1">
      <c r="A6" s="18"/>
    </row>
    <row r="7" spans="1:10" ht="14.25" customHeight="1"/>
    <row r="8" spans="1:10" ht="14.25" customHeight="1">
      <c r="A8" s="19" t="s">
        <v>544</v>
      </c>
      <c r="B8" s="20" t="s">
        <v>545</v>
      </c>
    </row>
    <row r="9" spans="1:10" ht="14.25" customHeight="1">
      <c r="A9" s="21"/>
    </row>
    <row r="10" spans="1:10" ht="14.25" customHeight="1">
      <c r="A10" s="21">
        <v>1</v>
      </c>
      <c r="B10" s="22" t="s">
        <v>546</v>
      </c>
    </row>
    <row r="11" spans="1:10" ht="14.25" customHeight="1">
      <c r="A11" s="21">
        <v>2</v>
      </c>
      <c r="B11" s="22" t="s">
        <v>547</v>
      </c>
    </row>
    <row r="12" spans="1:10" ht="14.25" customHeight="1">
      <c r="A12" s="21">
        <v>3</v>
      </c>
      <c r="B12" s="22" t="s">
        <v>548</v>
      </c>
    </row>
    <row r="13" spans="1:10" ht="14.25" customHeight="1">
      <c r="A13" s="21">
        <v>4</v>
      </c>
      <c r="B13" s="22" t="s">
        <v>549</v>
      </c>
    </row>
    <row r="14" spans="1:10" ht="14.25" customHeight="1">
      <c r="A14" s="21">
        <v>5</v>
      </c>
      <c r="B14" s="22" t="s">
        <v>550</v>
      </c>
    </row>
    <row r="15" spans="1:10" ht="14.25" customHeight="1"/>
    <row r="16" spans="1:1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919ED-5406-4B34-AC4E-EC9843D29FE7}">
  <dimension ref="A1"/>
  <sheetViews>
    <sheetView workbookViewId="0"/>
  </sheetViews>
  <sheetFormatPr defaultRowHeight="14.4"/>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05FF3-3CC3-4930-9DBE-77BC65C256AB}">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Actual</vt:lpstr>
      <vt:lpstr>Results</vt:lpstr>
      <vt:lpstr>prompt1</vt:lpstr>
      <vt:lpstr>prompt2</vt:lpstr>
      <vt:lpstr>prompt3</vt:lpstr>
      <vt:lpstr>prompt4</vt:lpstr>
      <vt:lpstr>prompt5</vt:lpstr>
      <vt:lpstr>classify1</vt:lpstr>
      <vt:lpstr>classify2</vt:lpstr>
      <vt:lpstr>classify3</vt:lpstr>
      <vt:lpstr>classify4</vt:lpstr>
      <vt:lpstr>classify5</vt:lpstr>
      <vt:lpstr>appendix</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Panos Tirchas</dc:creator>
  <cp:lastModifiedBy>Nikos Christakis</cp:lastModifiedBy>
  <dcterms:created xsi:type="dcterms:W3CDTF">2026-01-12T19:59:51Z</dcterms:created>
  <dcterms:modified xsi:type="dcterms:W3CDTF">2026-03-30T12:01:06Z</dcterms:modified>
</cp:coreProperties>
</file>
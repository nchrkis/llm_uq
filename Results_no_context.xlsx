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KOS\Downloads\"/>
    </mc:Choice>
  </mc:AlternateContent>
  <xr:revisionPtr revIDLastSave="0" documentId="13_ncr:1_{9D9A16F1-F5B9-4D74-98ED-7A79531747BC}" xr6:coauthVersionLast="47" xr6:coauthVersionMax="47" xr10:uidLastSave="{00000000-0000-0000-0000-000000000000}"/>
  <bookViews>
    <workbookView xWindow="4140" yWindow="3660" windowWidth="17280" windowHeight="9960" firstSheet="7" activeTab="7" xr2:uid="{00000000-000D-0000-FFFF-FFFF00000000}"/>
  </bookViews>
  <sheets>
    <sheet name="Actual" sheetId="1" r:id="rId1"/>
    <sheet name="Results" sheetId="2" r:id="rId2"/>
    <sheet name="prompt1" sheetId="3" r:id="rId3"/>
    <sheet name="prompt2" sheetId="4" r:id="rId4"/>
    <sheet name="prompt3" sheetId="5" r:id="rId5"/>
    <sheet name="prompt4" sheetId="6" r:id="rId6"/>
    <sheet name="prompt5" sheetId="7" r:id="rId7"/>
    <sheet name="classify1" sheetId="8" r:id="rId8"/>
    <sheet name="classify2" sheetId="9" r:id="rId9"/>
    <sheet name="classify3" sheetId="10" r:id="rId10"/>
    <sheet name="classify4" sheetId="11" r:id="rId11"/>
    <sheet name="classify5" sheetId="12" r:id="rId12"/>
    <sheet name="Appendix" sheetId="15"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6" i="2" l="1"/>
  <c r="Q66" i="2"/>
  <c r="P66" i="2"/>
  <c r="O66" i="2"/>
  <c r="N66" i="2"/>
  <c r="M66" i="2"/>
  <c r="G66" i="2"/>
  <c r="F66" i="2"/>
  <c r="E66" i="2"/>
  <c r="D66" i="2"/>
  <c r="C66" i="2"/>
  <c r="B66" i="2"/>
  <c r="R65" i="2"/>
  <c r="Q65" i="2"/>
  <c r="P65" i="2"/>
  <c r="T65" i="2" s="1"/>
  <c r="O65" i="2"/>
  <c r="N65" i="2"/>
  <c r="M65" i="2"/>
  <c r="G65" i="2"/>
  <c r="I65" i="2" s="1"/>
  <c r="F65" i="2"/>
  <c r="E65" i="2"/>
  <c r="D65" i="2"/>
  <c r="C65" i="2"/>
  <c r="B65" i="2"/>
  <c r="R64" i="2"/>
  <c r="T64" i="2" s="1"/>
  <c r="Q64" i="2"/>
  <c r="P64" i="2"/>
  <c r="O64" i="2"/>
  <c r="N64" i="2"/>
  <c r="M64" i="2"/>
  <c r="S64" i="2" s="1"/>
  <c r="I64" i="2"/>
  <c r="G64" i="2"/>
  <c r="F64" i="2"/>
  <c r="E64" i="2"/>
  <c r="D64" i="2"/>
  <c r="C64" i="2"/>
  <c r="B64" i="2"/>
  <c r="H64" i="2" s="1"/>
  <c r="R63" i="2"/>
  <c r="Q63" i="2"/>
  <c r="P63" i="2"/>
  <c r="O63" i="2"/>
  <c r="N63" i="2"/>
  <c r="T63" i="2" s="1"/>
  <c r="M63" i="2"/>
  <c r="S63" i="2" s="1"/>
  <c r="G63" i="2"/>
  <c r="F63" i="2"/>
  <c r="E63" i="2"/>
  <c r="D63" i="2"/>
  <c r="C63" i="2"/>
  <c r="I63" i="2" s="1"/>
  <c r="B63" i="2"/>
  <c r="H63" i="2" s="1"/>
  <c r="R62" i="2"/>
  <c r="Q62" i="2"/>
  <c r="P62" i="2"/>
  <c r="O62" i="2"/>
  <c r="N62" i="2"/>
  <c r="T62" i="2" s="1"/>
  <c r="M62" i="2"/>
  <c r="S62" i="2" s="1"/>
  <c r="G62" i="2"/>
  <c r="F62" i="2"/>
  <c r="H62" i="2" s="1"/>
  <c r="E62" i="2"/>
  <c r="D62" i="2"/>
  <c r="C62" i="2"/>
  <c r="B62" i="2"/>
  <c r="R61" i="2"/>
  <c r="Q61" i="2"/>
  <c r="P61" i="2"/>
  <c r="O61" i="2"/>
  <c r="T61" i="2" s="1"/>
  <c r="N61" i="2"/>
  <c r="M61" i="2"/>
  <c r="G61" i="2"/>
  <c r="F61" i="2"/>
  <c r="I61" i="2" s="1"/>
  <c r="E61" i="2"/>
  <c r="D61" i="2"/>
  <c r="C61" i="2"/>
  <c r="B61" i="2"/>
  <c r="R60" i="2"/>
  <c r="Q60" i="2"/>
  <c r="P60" i="2"/>
  <c r="O60" i="2"/>
  <c r="N60" i="2"/>
  <c r="T60" i="2" s="1"/>
  <c r="M60" i="2"/>
  <c r="S60" i="2" s="1"/>
  <c r="I60" i="2"/>
  <c r="H60" i="2"/>
  <c r="G60" i="2"/>
  <c r="F60" i="2"/>
  <c r="E60" i="2"/>
  <c r="D60" i="2"/>
  <c r="C60" i="2"/>
  <c r="B60" i="2"/>
  <c r="R59" i="2"/>
  <c r="Q59" i="2"/>
  <c r="P59" i="2"/>
  <c r="O59" i="2"/>
  <c r="N59" i="2"/>
  <c r="T59" i="2" s="1"/>
  <c r="M59" i="2"/>
  <c r="S59" i="2" s="1"/>
  <c r="G59" i="2"/>
  <c r="F59" i="2"/>
  <c r="E59" i="2"/>
  <c r="D59" i="2"/>
  <c r="C59" i="2"/>
  <c r="I59" i="2" s="1"/>
  <c r="B59" i="2"/>
  <c r="H59" i="2" s="1"/>
  <c r="R58" i="2"/>
  <c r="Q58" i="2"/>
  <c r="P58" i="2"/>
  <c r="O58" i="2"/>
  <c r="N58" i="2"/>
  <c r="M58" i="2"/>
  <c r="G58" i="2"/>
  <c r="F58" i="2"/>
  <c r="E58" i="2"/>
  <c r="D58" i="2"/>
  <c r="C58" i="2"/>
  <c r="B58" i="2"/>
  <c r="R57" i="2"/>
  <c r="Q57" i="2"/>
  <c r="P57" i="2"/>
  <c r="T57" i="2" s="1"/>
  <c r="O57" i="2"/>
  <c r="N57" i="2"/>
  <c r="M57" i="2"/>
  <c r="G57" i="2"/>
  <c r="F57" i="2"/>
  <c r="E57" i="2"/>
  <c r="H57" i="2" s="1"/>
  <c r="D57" i="2"/>
  <c r="C57" i="2"/>
  <c r="B57" i="2"/>
  <c r="R56" i="2"/>
  <c r="T56" i="2" s="1"/>
  <c r="Q56" i="2"/>
  <c r="P56" i="2"/>
  <c r="O56" i="2"/>
  <c r="N56" i="2"/>
  <c r="M56" i="2"/>
  <c r="S56" i="2" s="1"/>
  <c r="G56" i="2"/>
  <c r="I56" i="2" s="1"/>
  <c r="F56" i="2"/>
  <c r="E56" i="2"/>
  <c r="D56" i="2"/>
  <c r="C56" i="2"/>
  <c r="B56" i="2"/>
  <c r="R55" i="2"/>
  <c r="Q55" i="2"/>
  <c r="P55" i="2"/>
  <c r="O55" i="2"/>
  <c r="N55" i="2"/>
  <c r="T55" i="2" s="1"/>
  <c r="M55" i="2"/>
  <c r="S55" i="2" s="1"/>
  <c r="I55" i="2"/>
  <c r="G55" i="2"/>
  <c r="F55" i="2"/>
  <c r="E55" i="2"/>
  <c r="D55" i="2"/>
  <c r="C55" i="2"/>
  <c r="B55" i="2"/>
  <c r="H55" i="2" s="1"/>
  <c r="R54" i="2"/>
  <c r="Q54" i="2"/>
  <c r="P54" i="2"/>
  <c r="O54" i="2"/>
  <c r="N54" i="2"/>
  <c r="T54" i="2" s="1"/>
  <c r="M54" i="2"/>
  <c r="S54" i="2" s="1"/>
  <c r="G54" i="2"/>
  <c r="F54" i="2"/>
  <c r="E54" i="2"/>
  <c r="D54" i="2"/>
  <c r="I54" i="2" s="1"/>
  <c r="C54" i="2"/>
  <c r="B54" i="2"/>
  <c r="R53" i="2"/>
  <c r="Q53" i="2"/>
  <c r="P53" i="2"/>
  <c r="O53" i="2"/>
  <c r="T53" i="2" s="1"/>
  <c r="N53" i="2"/>
  <c r="M53" i="2"/>
  <c r="G53" i="2"/>
  <c r="F53" i="2"/>
  <c r="H53" i="2" s="1"/>
  <c r="E53" i="2"/>
  <c r="D53" i="2"/>
  <c r="C53" i="2"/>
  <c r="B53" i="2"/>
  <c r="R52" i="2"/>
  <c r="Q52" i="2"/>
  <c r="P52" i="2"/>
  <c r="O52" i="2"/>
  <c r="N52" i="2"/>
  <c r="T52" i="2" s="1"/>
  <c r="M52" i="2"/>
  <c r="S52" i="2" s="1"/>
  <c r="I52" i="2"/>
  <c r="H52" i="2"/>
  <c r="G52" i="2"/>
  <c r="F52" i="2"/>
  <c r="E52" i="2"/>
  <c r="D52" i="2"/>
  <c r="C52" i="2"/>
  <c r="B52" i="2"/>
  <c r="R51" i="2"/>
  <c r="Q51" i="2"/>
  <c r="P51" i="2"/>
  <c r="O51" i="2"/>
  <c r="N51" i="2"/>
  <c r="T51" i="2" s="1"/>
  <c r="M51" i="2"/>
  <c r="S51" i="2" s="1"/>
  <c r="G51" i="2"/>
  <c r="F51" i="2"/>
  <c r="E51" i="2"/>
  <c r="D51" i="2"/>
  <c r="C51" i="2"/>
  <c r="I51" i="2" s="1"/>
  <c r="B51" i="2"/>
  <c r="H51" i="2" s="1"/>
  <c r="R50" i="2"/>
  <c r="Q50" i="2"/>
  <c r="P50" i="2"/>
  <c r="O50" i="2"/>
  <c r="N50" i="2"/>
  <c r="M50" i="2"/>
  <c r="G50" i="2"/>
  <c r="F50" i="2"/>
  <c r="E50" i="2"/>
  <c r="D50" i="2"/>
  <c r="C50" i="2"/>
  <c r="B50" i="2"/>
  <c r="R49" i="2"/>
  <c r="Q49" i="2"/>
  <c r="P49" i="2"/>
  <c r="S49" i="2" s="1"/>
  <c r="O49" i="2"/>
  <c r="N49" i="2"/>
  <c r="M49" i="2"/>
  <c r="G49" i="2"/>
  <c r="F49" i="2"/>
  <c r="E49" i="2"/>
  <c r="H49" i="2" s="1"/>
  <c r="D49" i="2"/>
  <c r="C49" i="2"/>
  <c r="B49" i="2"/>
  <c r="R48" i="2"/>
  <c r="T48" i="2" s="1"/>
  <c r="Q48" i="2"/>
  <c r="P48" i="2"/>
  <c r="O48" i="2"/>
  <c r="N48" i="2"/>
  <c r="M48" i="2"/>
  <c r="S48" i="2" s="1"/>
  <c r="G48" i="2"/>
  <c r="H48" i="2" s="1"/>
  <c r="F48" i="2"/>
  <c r="E48" i="2"/>
  <c r="D48" i="2"/>
  <c r="C48" i="2"/>
  <c r="B48" i="2"/>
  <c r="R47" i="2"/>
  <c r="Q47" i="2"/>
  <c r="P47" i="2"/>
  <c r="O47" i="2"/>
  <c r="N47" i="2"/>
  <c r="T47" i="2" s="1"/>
  <c r="M47" i="2"/>
  <c r="S47" i="2" s="1"/>
  <c r="G47" i="2"/>
  <c r="F47" i="2"/>
  <c r="E47" i="2"/>
  <c r="I47" i="2" s="1"/>
  <c r="D47" i="2"/>
  <c r="C47" i="2"/>
  <c r="B47" i="2"/>
  <c r="R46" i="2"/>
  <c r="Q46" i="2"/>
  <c r="P46" i="2"/>
  <c r="O46" i="2"/>
  <c r="N46" i="2"/>
  <c r="T46" i="2" s="1"/>
  <c r="M46" i="2"/>
  <c r="S46" i="2" s="1"/>
  <c r="G46" i="2"/>
  <c r="F46" i="2"/>
  <c r="E46" i="2"/>
  <c r="D46" i="2"/>
  <c r="I46" i="2" s="1"/>
  <c r="C46" i="2"/>
  <c r="B46" i="2"/>
  <c r="R45" i="2"/>
  <c r="Q45" i="2"/>
  <c r="P45" i="2"/>
  <c r="O45" i="2"/>
  <c r="T45" i="2" s="1"/>
  <c r="N45" i="2"/>
  <c r="M45" i="2"/>
  <c r="G45" i="2"/>
  <c r="F45" i="2"/>
  <c r="I45" i="2" s="1"/>
  <c r="E45" i="2"/>
  <c r="D45" i="2"/>
  <c r="C45" i="2"/>
  <c r="B45" i="2"/>
  <c r="R44" i="2"/>
  <c r="Q44" i="2"/>
  <c r="P44" i="2"/>
  <c r="O44" i="2"/>
  <c r="N44" i="2"/>
  <c r="T44" i="2" s="1"/>
  <c r="M44" i="2"/>
  <c r="S44" i="2" s="1"/>
  <c r="I44" i="2"/>
  <c r="H44" i="2"/>
  <c r="G44" i="2"/>
  <c r="F44" i="2"/>
  <c r="E44" i="2"/>
  <c r="D44" i="2"/>
  <c r="C44" i="2"/>
  <c r="B44" i="2"/>
  <c r="R43" i="2"/>
  <c r="Q43" i="2"/>
  <c r="P43" i="2"/>
  <c r="O43" i="2"/>
  <c r="N43" i="2"/>
  <c r="T43" i="2" s="1"/>
  <c r="M43" i="2"/>
  <c r="S43" i="2" s="1"/>
  <c r="G43" i="2"/>
  <c r="F43" i="2"/>
  <c r="E43" i="2"/>
  <c r="D43" i="2"/>
  <c r="C43" i="2"/>
  <c r="B43" i="2"/>
  <c r="R42" i="2"/>
  <c r="Q42" i="2"/>
  <c r="P42" i="2"/>
  <c r="O42" i="2"/>
  <c r="N42" i="2"/>
  <c r="M42" i="2"/>
  <c r="G42" i="2"/>
  <c r="F42" i="2"/>
  <c r="E42" i="2"/>
  <c r="D42" i="2"/>
  <c r="C42" i="2"/>
  <c r="B42" i="2"/>
  <c r="T41" i="2"/>
  <c r="R41" i="2"/>
  <c r="Q41" i="2"/>
  <c r="P41" i="2"/>
  <c r="S41" i="2" s="1"/>
  <c r="O41" i="2"/>
  <c r="N41" i="2"/>
  <c r="M41" i="2"/>
  <c r="G41" i="2"/>
  <c r="F41" i="2"/>
  <c r="E41" i="2"/>
  <c r="I41" i="2" s="1"/>
  <c r="D41" i="2"/>
  <c r="C41" i="2"/>
  <c r="B41" i="2"/>
  <c r="H41" i="2" s="1"/>
  <c r="R40" i="2"/>
  <c r="T40" i="2" s="1"/>
  <c r="Q40" i="2"/>
  <c r="P40" i="2"/>
  <c r="O40" i="2"/>
  <c r="N40" i="2"/>
  <c r="M40" i="2"/>
  <c r="S40" i="2" s="1"/>
  <c r="G40" i="2"/>
  <c r="F40" i="2"/>
  <c r="E40" i="2"/>
  <c r="D40" i="2"/>
  <c r="C40" i="2"/>
  <c r="H40" i="2" s="1"/>
  <c r="B40" i="2"/>
  <c r="R39" i="2"/>
  <c r="Q39" i="2"/>
  <c r="P39" i="2"/>
  <c r="O39" i="2"/>
  <c r="N39" i="2"/>
  <c r="T39" i="2" s="1"/>
  <c r="M39" i="2"/>
  <c r="S39" i="2" s="1"/>
  <c r="G39" i="2"/>
  <c r="F39" i="2"/>
  <c r="E39" i="2"/>
  <c r="D39" i="2"/>
  <c r="C39" i="2"/>
  <c r="I39" i="2" s="1"/>
  <c r="B39" i="2"/>
  <c r="R38" i="2"/>
  <c r="Q38" i="2"/>
  <c r="P38" i="2"/>
  <c r="O38" i="2"/>
  <c r="N38" i="2"/>
  <c r="T38" i="2" s="1"/>
  <c r="M38" i="2"/>
  <c r="S38" i="2" s="1"/>
  <c r="G38" i="2"/>
  <c r="F38" i="2"/>
  <c r="E38" i="2"/>
  <c r="D38" i="2"/>
  <c r="I38" i="2" s="1"/>
  <c r="C38" i="2"/>
  <c r="B38" i="2"/>
  <c r="R37" i="2"/>
  <c r="S37" i="2" s="1"/>
  <c r="Q37" i="2"/>
  <c r="P37" i="2"/>
  <c r="O37" i="2"/>
  <c r="N37" i="2"/>
  <c r="M37" i="2"/>
  <c r="G37" i="2"/>
  <c r="F37" i="2"/>
  <c r="I37" i="2" s="1"/>
  <c r="E37" i="2"/>
  <c r="D37" i="2"/>
  <c r="C37" i="2"/>
  <c r="B37" i="2"/>
  <c r="T36" i="2"/>
  <c r="R36" i="2"/>
  <c r="Q36" i="2"/>
  <c r="P36" i="2"/>
  <c r="O36" i="2"/>
  <c r="N36" i="2"/>
  <c r="M36" i="2"/>
  <c r="S36" i="2" s="1"/>
  <c r="G36" i="2"/>
  <c r="F36" i="2"/>
  <c r="E36" i="2"/>
  <c r="D36" i="2"/>
  <c r="C36" i="2"/>
  <c r="I36" i="2" s="1"/>
  <c r="B36" i="2"/>
  <c r="H36" i="2" s="1"/>
  <c r="R35" i="2"/>
  <c r="Q35" i="2"/>
  <c r="P35" i="2"/>
  <c r="O35" i="2"/>
  <c r="N35" i="2"/>
  <c r="T35" i="2" s="1"/>
  <c r="M35" i="2"/>
  <c r="S35" i="2" s="1"/>
  <c r="G35" i="2"/>
  <c r="F35" i="2"/>
  <c r="E35" i="2"/>
  <c r="D35" i="2"/>
  <c r="C35" i="2"/>
  <c r="I35" i="2" s="1"/>
  <c r="B35" i="2"/>
  <c r="H35" i="2" s="1"/>
  <c r="R34" i="2"/>
  <c r="Q34" i="2"/>
  <c r="P34" i="2"/>
  <c r="O34" i="2"/>
  <c r="N34" i="2"/>
  <c r="M34" i="2"/>
  <c r="G34" i="2"/>
  <c r="F34" i="2"/>
  <c r="E34" i="2"/>
  <c r="D34" i="2"/>
  <c r="C34" i="2"/>
  <c r="B34" i="2"/>
  <c r="R33" i="2"/>
  <c r="S33" i="2" s="1"/>
  <c r="Q33" i="2"/>
  <c r="P33" i="2"/>
  <c r="O33" i="2"/>
  <c r="N33" i="2"/>
  <c r="M33" i="2"/>
  <c r="G33" i="2"/>
  <c r="F33" i="2"/>
  <c r="E33" i="2"/>
  <c r="I33" i="2" s="1"/>
  <c r="D33" i="2"/>
  <c r="C33" i="2"/>
  <c r="B33" i="2"/>
  <c r="H33" i="2" s="1"/>
  <c r="T32" i="2"/>
  <c r="S32" i="2"/>
  <c r="R32" i="2"/>
  <c r="Q32" i="2"/>
  <c r="P32" i="2"/>
  <c r="O32" i="2"/>
  <c r="N32" i="2"/>
  <c r="M32" i="2"/>
  <c r="G32" i="2"/>
  <c r="F32" i="2"/>
  <c r="E32" i="2"/>
  <c r="D32" i="2"/>
  <c r="C32" i="2"/>
  <c r="I32" i="2" s="1"/>
  <c r="B32" i="2"/>
  <c r="H32" i="2" s="1"/>
  <c r="R31" i="2"/>
  <c r="Q31" i="2"/>
  <c r="P31" i="2"/>
  <c r="O31" i="2"/>
  <c r="N31" i="2"/>
  <c r="T31" i="2" s="1"/>
  <c r="M31" i="2"/>
  <c r="S31" i="2" s="1"/>
  <c r="G31" i="2"/>
  <c r="F31" i="2"/>
  <c r="E31" i="2"/>
  <c r="D31" i="2"/>
  <c r="C31" i="2"/>
  <c r="I31" i="2" s="1"/>
  <c r="B31" i="2"/>
  <c r="H31" i="2" s="1"/>
  <c r="R30" i="2"/>
  <c r="Q30" i="2"/>
  <c r="P30" i="2"/>
  <c r="O30" i="2"/>
  <c r="N30" i="2"/>
  <c r="T30" i="2" s="1"/>
  <c r="M30" i="2"/>
  <c r="G30" i="2"/>
  <c r="F30" i="2"/>
  <c r="E30" i="2"/>
  <c r="D30" i="2"/>
  <c r="I30" i="2" s="1"/>
  <c r="C30" i="2"/>
  <c r="B30" i="2"/>
  <c r="R29" i="2"/>
  <c r="Q29" i="2"/>
  <c r="P29" i="2"/>
  <c r="S29" i="2" s="1"/>
  <c r="O29" i="2"/>
  <c r="N29" i="2"/>
  <c r="M29" i="2"/>
  <c r="G29" i="2"/>
  <c r="F29" i="2"/>
  <c r="H29" i="2" s="1"/>
  <c r="E29" i="2"/>
  <c r="D29" i="2"/>
  <c r="C29" i="2"/>
  <c r="B29" i="2"/>
  <c r="R28" i="2"/>
  <c r="T28" i="2" s="1"/>
  <c r="Q28" i="2"/>
  <c r="P28" i="2"/>
  <c r="O28" i="2"/>
  <c r="N28" i="2"/>
  <c r="M28" i="2"/>
  <c r="G28" i="2"/>
  <c r="F28" i="2"/>
  <c r="E28" i="2"/>
  <c r="D28" i="2"/>
  <c r="C28" i="2"/>
  <c r="I28" i="2" s="1"/>
  <c r="B28" i="2"/>
  <c r="H28" i="2" s="1"/>
  <c r="T27" i="2"/>
  <c r="R27" i="2"/>
  <c r="Q27" i="2"/>
  <c r="P27" i="2"/>
  <c r="O27" i="2"/>
  <c r="N27" i="2"/>
  <c r="M27" i="2"/>
  <c r="S27" i="2" s="1"/>
  <c r="G27" i="2"/>
  <c r="F27" i="2"/>
  <c r="E27" i="2"/>
  <c r="D27" i="2"/>
  <c r="C27" i="2"/>
  <c r="I27" i="2" s="1"/>
  <c r="B27" i="2"/>
  <c r="H27" i="2" s="1"/>
  <c r="S26" i="2"/>
  <c r="R26" i="2"/>
  <c r="Q26" i="2"/>
  <c r="P26" i="2"/>
  <c r="O26" i="2"/>
  <c r="N26" i="2"/>
  <c r="M26" i="2"/>
  <c r="G26" i="2"/>
  <c r="F26" i="2"/>
  <c r="E26" i="2"/>
  <c r="D26" i="2"/>
  <c r="C26" i="2"/>
  <c r="B26" i="2"/>
  <c r="R25" i="2"/>
  <c r="S25" i="2" s="1"/>
  <c r="Q25" i="2"/>
  <c r="P25" i="2"/>
  <c r="O25" i="2"/>
  <c r="N25" i="2"/>
  <c r="M25" i="2"/>
  <c r="G25" i="2"/>
  <c r="F25" i="2"/>
  <c r="E25" i="2"/>
  <c r="D25" i="2"/>
  <c r="C25" i="2"/>
  <c r="I25" i="2" s="1"/>
  <c r="B25" i="2"/>
  <c r="H25" i="2" s="1"/>
  <c r="T24" i="2"/>
  <c r="S24" i="2"/>
  <c r="R24" i="2"/>
  <c r="Q24" i="2"/>
  <c r="P24" i="2"/>
  <c r="O24" i="2"/>
  <c r="N24" i="2"/>
  <c r="M24" i="2"/>
  <c r="G24" i="2"/>
  <c r="F24" i="2"/>
  <c r="E24" i="2"/>
  <c r="D24" i="2"/>
  <c r="C24" i="2"/>
  <c r="I24" i="2" s="1"/>
  <c r="B24" i="2"/>
  <c r="H24" i="2" s="1"/>
  <c r="R23" i="2"/>
  <c r="Q23" i="2"/>
  <c r="P23" i="2"/>
  <c r="O23" i="2"/>
  <c r="N23" i="2"/>
  <c r="T23" i="2" s="1"/>
  <c r="M23" i="2"/>
  <c r="S23" i="2" s="1"/>
  <c r="G23" i="2"/>
  <c r="F23" i="2"/>
  <c r="E23" i="2"/>
  <c r="D23" i="2"/>
  <c r="C23" i="2"/>
  <c r="I23" i="2" s="1"/>
  <c r="B23" i="2"/>
  <c r="H23" i="2" s="1"/>
  <c r="R22" i="2"/>
  <c r="Q22" i="2"/>
  <c r="P22" i="2"/>
  <c r="O22" i="2"/>
  <c r="N22" i="2"/>
  <c r="T22" i="2" s="1"/>
  <c r="M22" i="2"/>
  <c r="G22" i="2"/>
  <c r="F22" i="2"/>
  <c r="E22" i="2"/>
  <c r="D22" i="2"/>
  <c r="I22" i="2" s="1"/>
  <c r="C22" i="2"/>
  <c r="B22" i="2"/>
  <c r="R21" i="2"/>
  <c r="Q21" i="2"/>
  <c r="S21" i="2" s="1"/>
  <c r="P21" i="2"/>
  <c r="O21" i="2"/>
  <c r="N21" i="2"/>
  <c r="M21" i="2"/>
  <c r="G21" i="2"/>
  <c r="F21" i="2"/>
  <c r="H21" i="2" s="1"/>
  <c r="E21" i="2"/>
  <c r="D21" i="2"/>
  <c r="C21" i="2"/>
  <c r="B21" i="2"/>
  <c r="T20" i="2"/>
  <c r="S20" i="2"/>
  <c r="R20" i="2"/>
  <c r="Q20" i="2"/>
  <c r="P20" i="2"/>
  <c r="O20" i="2"/>
  <c r="N20" i="2"/>
  <c r="M20" i="2"/>
  <c r="G20" i="2"/>
  <c r="F20" i="2"/>
  <c r="E20" i="2"/>
  <c r="D20" i="2"/>
  <c r="C20" i="2"/>
  <c r="I20" i="2" s="1"/>
  <c r="B20" i="2"/>
  <c r="H20" i="2" s="1"/>
  <c r="R19" i="2"/>
  <c r="Q19" i="2"/>
  <c r="P19" i="2"/>
  <c r="O19" i="2"/>
  <c r="N19" i="2"/>
  <c r="T19" i="2" s="1"/>
  <c r="M19" i="2"/>
  <c r="S19" i="2" s="1"/>
  <c r="G19" i="2"/>
  <c r="F19" i="2"/>
  <c r="E19" i="2"/>
  <c r="D19" i="2"/>
  <c r="C19" i="2"/>
  <c r="I19" i="2" s="1"/>
  <c r="B19" i="2"/>
  <c r="H19" i="2" s="1"/>
  <c r="R18" i="2"/>
  <c r="Q18" i="2"/>
  <c r="P18" i="2"/>
  <c r="O18" i="2"/>
  <c r="N18" i="2"/>
  <c r="T18" i="2" s="1"/>
  <c r="M18" i="2"/>
  <c r="G18" i="2"/>
  <c r="F18" i="2"/>
  <c r="E18" i="2"/>
  <c r="D18" i="2"/>
  <c r="C18" i="2"/>
  <c r="B18" i="2"/>
  <c r="T17" i="2"/>
  <c r="S17" i="2"/>
  <c r="R17" i="2"/>
  <c r="Q17" i="2"/>
  <c r="P17" i="2"/>
  <c r="O17" i="2"/>
  <c r="N17" i="2"/>
  <c r="M17" i="2"/>
  <c r="G17" i="2"/>
  <c r="F17" i="2"/>
  <c r="E17" i="2"/>
  <c r="D17" i="2"/>
  <c r="C17" i="2"/>
  <c r="I17" i="2" s="1"/>
  <c r="B17" i="2"/>
  <c r="H17" i="2" s="1"/>
  <c r="T16" i="2"/>
  <c r="R16" i="2"/>
  <c r="Q16" i="2"/>
  <c r="P16" i="2"/>
  <c r="O16" i="2"/>
  <c r="N16" i="2"/>
  <c r="M16" i="2"/>
  <c r="S16" i="2" s="1"/>
  <c r="G16" i="2"/>
  <c r="F16" i="2"/>
  <c r="E16" i="2"/>
  <c r="D16" i="2"/>
  <c r="C16" i="2"/>
  <c r="I16" i="2" s="1"/>
  <c r="B16" i="2"/>
  <c r="H16" i="2" s="1"/>
  <c r="R15" i="2"/>
  <c r="Q15" i="2"/>
  <c r="P15" i="2"/>
  <c r="O15" i="2"/>
  <c r="N15" i="2"/>
  <c r="T15" i="2" s="1"/>
  <c r="M15" i="2"/>
  <c r="S15" i="2" s="1"/>
  <c r="G15" i="2"/>
  <c r="F15" i="2"/>
  <c r="E15" i="2"/>
  <c r="D15" i="2"/>
  <c r="C15" i="2"/>
  <c r="I15" i="2" s="1"/>
  <c r="B15" i="2"/>
  <c r="H15" i="2" s="1"/>
  <c r="R14" i="2"/>
  <c r="Q14" i="2"/>
  <c r="P14" i="2"/>
  <c r="O14" i="2"/>
  <c r="N14" i="2"/>
  <c r="M14" i="2"/>
  <c r="S14" i="2" s="1"/>
  <c r="G14" i="2"/>
  <c r="F14" i="2"/>
  <c r="E14" i="2"/>
  <c r="D14" i="2"/>
  <c r="I14" i="2" s="1"/>
  <c r="C14" i="2"/>
  <c r="B14" i="2"/>
  <c r="R13" i="2"/>
  <c r="S13" i="2" s="1"/>
  <c r="Q13" i="2"/>
  <c r="P13" i="2"/>
  <c r="O13" i="2"/>
  <c r="N13" i="2"/>
  <c r="M13" i="2"/>
  <c r="G13" i="2"/>
  <c r="F13" i="2"/>
  <c r="I13" i="2" s="1"/>
  <c r="E13" i="2"/>
  <c r="D13" i="2"/>
  <c r="C13" i="2"/>
  <c r="B13" i="2"/>
  <c r="T12" i="2"/>
  <c r="R12" i="2"/>
  <c r="Q12" i="2"/>
  <c r="P12" i="2"/>
  <c r="O12" i="2"/>
  <c r="N12" i="2"/>
  <c r="M12" i="2"/>
  <c r="S12" i="2" s="1"/>
  <c r="G12" i="2"/>
  <c r="F12" i="2"/>
  <c r="E12" i="2"/>
  <c r="D12" i="2"/>
  <c r="C12" i="2"/>
  <c r="I12" i="2" s="1"/>
  <c r="B12" i="2"/>
  <c r="H12" i="2" s="1"/>
  <c r="R11" i="2"/>
  <c r="Q11" i="2"/>
  <c r="P11" i="2"/>
  <c r="O11" i="2"/>
  <c r="N11" i="2"/>
  <c r="T11" i="2" s="1"/>
  <c r="M11" i="2"/>
  <c r="S11" i="2" s="1"/>
  <c r="G11" i="2"/>
  <c r="F11" i="2"/>
  <c r="E11" i="2"/>
  <c r="D11" i="2"/>
  <c r="C11" i="2"/>
  <c r="I11" i="2" s="1"/>
  <c r="B11" i="2"/>
  <c r="H11" i="2" s="1"/>
  <c r="R10" i="2"/>
  <c r="Q10" i="2"/>
  <c r="P10" i="2"/>
  <c r="O10" i="2"/>
  <c r="N10" i="2"/>
  <c r="T10" i="2" s="1"/>
  <c r="M10" i="2"/>
  <c r="G10" i="2"/>
  <c r="F10" i="2"/>
  <c r="E10" i="2"/>
  <c r="D10" i="2"/>
  <c r="C10" i="2"/>
  <c r="I10" i="2" s="1"/>
  <c r="B10" i="2"/>
  <c r="R9" i="2"/>
  <c r="Q9" i="2"/>
  <c r="P9" i="2"/>
  <c r="T9" i="2" s="1"/>
  <c r="O9" i="2"/>
  <c r="N9" i="2"/>
  <c r="M9" i="2"/>
  <c r="G9" i="2"/>
  <c r="F9" i="2"/>
  <c r="E9" i="2"/>
  <c r="D9" i="2"/>
  <c r="C9" i="2"/>
  <c r="I9" i="2" s="1"/>
  <c r="B9" i="2"/>
  <c r="R8" i="2"/>
  <c r="Q8" i="2"/>
  <c r="P8" i="2"/>
  <c r="O8" i="2"/>
  <c r="N8" i="2"/>
  <c r="T8" i="2" s="1"/>
  <c r="M8" i="2"/>
  <c r="S8" i="2" s="1"/>
  <c r="G8" i="2"/>
  <c r="F8" i="2"/>
  <c r="E8" i="2"/>
  <c r="I8" i="2" s="1"/>
  <c r="D8" i="2"/>
  <c r="C8" i="2"/>
  <c r="B8" i="2"/>
  <c r="A8" i="2"/>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R7" i="2"/>
  <c r="Q7" i="2"/>
  <c r="P7" i="2"/>
  <c r="O7" i="2"/>
  <c r="N7" i="2"/>
  <c r="T7" i="2" s="1"/>
  <c r="M7" i="2"/>
  <c r="S7" i="2" s="1"/>
  <c r="L7" i="2"/>
  <c r="L8" i="2" s="1"/>
  <c r="L9" i="2" s="1"/>
  <c r="L10" i="2" s="1"/>
  <c r="L11" i="2" s="1"/>
  <c r="L12" i="2" s="1"/>
  <c r="L13" i="2" s="1"/>
  <c r="L14" i="2" s="1"/>
  <c r="L15" i="2" s="1"/>
  <c r="L16" i="2" s="1"/>
  <c r="L17" i="2" s="1"/>
  <c r="L18" i="2" s="1"/>
  <c r="L19" i="2" s="1"/>
  <c r="L20" i="2" s="1"/>
  <c r="L21" i="2" s="1"/>
  <c r="L22" i="2" s="1"/>
  <c r="L23" i="2" s="1"/>
  <c r="L24" i="2" s="1"/>
  <c r="L25" i="2" s="1"/>
  <c r="L26" i="2" s="1"/>
  <c r="L27" i="2" s="1"/>
  <c r="L28" i="2" s="1"/>
  <c r="L29" i="2" s="1"/>
  <c r="L30" i="2" s="1"/>
  <c r="L31" i="2" s="1"/>
  <c r="L32" i="2" s="1"/>
  <c r="L33" i="2" s="1"/>
  <c r="L34" i="2" s="1"/>
  <c r="L35" i="2" s="1"/>
  <c r="L36" i="2" s="1"/>
  <c r="L37" i="2" s="1"/>
  <c r="L38" i="2" s="1"/>
  <c r="L39" i="2" s="1"/>
  <c r="L40" i="2" s="1"/>
  <c r="L41" i="2" s="1"/>
  <c r="L42" i="2" s="1"/>
  <c r="L43" i="2" s="1"/>
  <c r="L44" i="2" s="1"/>
  <c r="L45" i="2" s="1"/>
  <c r="L46" i="2" s="1"/>
  <c r="L47" i="2" s="1"/>
  <c r="L48" i="2" s="1"/>
  <c r="L49" i="2" s="1"/>
  <c r="L50" i="2" s="1"/>
  <c r="L51" i="2" s="1"/>
  <c r="L52" i="2" s="1"/>
  <c r="L53" i="2" s="1"/>
  <c r="L54" i="2" s="1"/>
  <c r="L55" i="2" s="1"/>
  <c r="L56" i="2" s="1"/>
  <c r="L57" i="2" s="1"/>
  <c r="L58" i="2" s="1"/>
  <c r="L59" i="2" s="1"/>
  <c r="L60" i="2" s="1"/>
  <c r="L61" i="2" s="1"/>
  <c r="L62" i="2" s="1"/>
  <c r="L63" i="2" s="1"/>
  <c r="L64" i="2" s="1"/>
  <c r="L65" i="2" s="1"/>
  <c r="L66" i="2" s="1"/>
  <c r="G7" i="2"/>
  <c r="F7" i="2"/>
  <c r="E7" i="2"/>
  <c r="I7" i="2" s="1"/>
  <c r="D7" i="2"/>
  <c r="C7" i="2"/>
  <c r="B7" i="2"/>
  <c r="R6" i="2"/>
  <c r="Q6" i="2"/>
  <c r="P6" i="2"/>
  <c r="O6" i="2"/>
  <c r="N6" i="2"/>
  <c r="T6" i="2" s="1"/>
  <c r="M6" i="2"/>
  <c r="S6" i="2" s="1"/>
  <c r="G6" i="2"/>
  <c r="F6" i="2"/>
  <c r="E6" i="2"/>
  <c r="D6" i="2"/>
  <c r="I6" i="2" s="1"/>
  <c r="C6" i="2"/>
  <c r="B6" i="2"/>
  <c r="R5" i="2"/>
  <c r="Q5" i="2"/>
  <c r="P5" i="2"/>
  <c r="O5" i="2"/>
  <c r="T5" i="2" s="1"/>
  <c r="N5" i="2"/>
  <c r="M5" i="2"/>
  <c r="S5" i="2" s="1"/>
  <c r="L5" i="2"/>
  <c r="L6" i="2" s="1"/>
  <c r="G5" i="2"/>
  <c r="F5" i="2"/>
  <c r="I5" i="2" s="1"/>
  <c r="E5" i="2"/>
  <c r="D5" i="2"/>
  <c r="C5" i="2"/>
  <c r="B5" i="2"/>
  <c r="A5" i="2"/>
  <c r="A6" i="2" s="1"/>
  <c r="A7" i="2" s="1"/>
  <c r="R4" i="2"/>
  <c r="Q4" i="2"/>
  <c r="P4" i="2"/>
  <c r="O4" i="2"/>
  <c r="N4" i="2"/>
  <c r="N67" i="2" s="1" a="1"/>
  <c r="N67" i="2" s="1"/>
  <c r="M4" i="2"/>
  <c r="P67" i="2" s="1" a="1"/>
  <c r="P67" i="2" s="1"/>
  <c r="G4" i="2"/>
  <c r="I4" i="2" s="1"/>
  <c r="F4" i="2"/>
  <c r="E4" i="2"/>
  <c r="D4" i="2"/>
  <c r="C4" i="2"/>
  <c r="B4" i="2"/>
  <c r="T25" i="2" l="1"/>
  <c r="T33" i="2"/>
  <c r="H61" i="2"/>
  <c r="T66" i="2"/>
  <c r="S66" i="2"/>
  <c r="H54" i="2"/>
  <c r="I57" i="2"/>
  <c r="T58" i="2"/>
  <c r="S58" i="2"/>
  <c r="I40" i="2"/>
  <c r="H45" i="2"/>
  <c r="I49" i="2"/>
  <c r="H13" i="2"/>
  <c r="C67" i="2" a="1"/>
  <c r="C67" i="2" s="1"/>
  <c r="H22" i="2"/>
  <c r="R67" i="2" a="1"/>
  <c r="R67" i="2" s="1"/>
  <c r="I21" i="2"/>
  <c r="H30" i="2"/>
  <c r="T34" i="2"/>
  <c r="S34" i="2"/>
  <c r="S4" i="2"/>
  <c r="T14" i="2"/>
  <c r="S22" i="2"/>
  <c r="T26" i="2"/>
  <c r="I29" i="2"/>
  <c r="S30" i="2"/>
  <c r="S57" i="2"/>
  <c r="S61" i="2"/>
  <c r="G67" i="2" a="1"/>
  <c r="G67" i="2" s="1"/>
  <c r="H65" i="2"/>
  <c r="H8" i="2"/>
  <c r="H5" i="2"/>
  <c r="H18" i="2"/>
  <c r="I18" i="2"/>
  <c r="H9" i="2"/>
  <c r="I53" i="2"/>
  <c r="O67" i="2" a="1"/>
  <c r="O67" i="2" s="1"/>
  <c r="H37" i="2"/>
  <c r="H38" i="2"/>
  <c r="T42" i="2"/>
  <c r="S42" i="2"/>
  <c r="S65" i="2"/>
  <c r="T4" i="2"/>
  <c r="H66" i="2"/>
  <c r="I66" i="2"/>
  <c r="E67" i="2" a="1"/>
  <c r="E67" i="2" s="1"/>
  <c r="S28" i="2"/>
  <c r="H56" i="2"/>
  <c r="I42" i="2"/>
  <c r="H42" i="2"/>
  <c r="H4" i="2"/>
  <c r="H34" i="2"/>
  <c r="I34" i="2"/>
  <c r="I48" i="2"/>
  <c r="H6" i="2"/>
  <c r="H26" i="2"/>
  <c r="I26" i="2"/>
  <c r="I67" i="2" s="1"/>
  <c r="H46" i="2"/>
  <c r="T50" i="2"/>
  <c r="S50" i="2"/>
  <c r="H14" i="2"/>
  <c r="Q67" i="2" a="1"/>
  <c r="Q67" i="2" s="1"/>
  <c r="D67" i="2" a="1"/>
  <c r="D67" i="2" s="1"/>
  <c r="F67" i="2" a="1"/>
  <c r="F67" i="2" s="1"/>
  <c r="T13" i="2"/>
  <c r="S53" i="2"/>
  <c r="S9" i="2"/>
  <c r="S10" i="2"/>
  <c r="T21" i="2"/>
  <c r="H43" i="2"/>
  <c r="T49" i="2"/>
  <c r="I58" i="2"/>
  <c r="H58" i="2"/>
  <c r="I62" i="2"/>
  <c r="I50" i="2"/>
  <c r="H50" i="2"/>
  <c r="H10" i="2"/>
  <c r="H7" i="2"/>
  <c r="T37" i="2"/>
  <c r="H47" i="2"/>
  <c r="S18" i="2"/>
  <c r="T29" i="2"/>
  <c r="H39" i="2"/>
  <c r="I43" i="2"/>
  <c r="S45" i="2"/>
  <c r="T67" i="2" l="1"/>
  <c r="S67" i="2"/>
  <c r="H67" i="2"/>
</calcChain>
</file>

<file path=xl/sharedStrings.xml><?xml version="1.0" encoding="utf-8"?>
<sst xmlns="http://schemas.openxmlformats.org/spreadsheetml/2006/main" count="708" uniqueCount="600">
  <si>
    <t>Patient</t>
  </si>
  <si>
    <t>Diagnosis</t>
  </si>
  <si>
    <t>CANCER STAGE</t>
  </si>
  <si>
    <t>PROMPT VARIATIONS</t>
  </si>
  <si>
    <t>SAME PROMPT</t>
  </si>
  <si>
    <t>Actual Stage</t>
  </si>
  <si>
    <t>prompt1</t>
  </si>
  <si>
    <t>prompt2</t>
  </si>
  <si>
    <t>prompt3</t>
  </si>
  <si>
    <t>prompt4</t>
  </si>
  <si>
    <t>prompt5</t>
  </si>
  <si>
    <t>Row accuracy</t>
  </si>
  <si>
    <t>Consensus rate</t>
  </si>
  <si>
    <t>classify1</t>
  </si>
  <si>
    <t>classify2</t>
  </si>
  <si>
    <t>classify3</t>
  </si>
  <si>
    <t>classify4</t>
  </si>
  <si>
    <t>classify5</t>
  </si>
  <si>
    <t>AVG accuracy</t>
  </si>
  <si>
    <t>cancer_prediction</t>
  </si>
  <si>
    <t>confidence</t>
  </si>
  <si>
    <t>reasoning</t>
  </si>
  <si>
    <t>CA19-9 is markedly elevated (422), which strongly supports pancreatic malignancy in the appropriate clinical context. The accompanying pancreatic-associated protein markers (LYVE1, REG1B, and TFF1) are also elevated, reinforcing a cancer signal rather than a benign condition. Overall biomarker pattern is highly consistent with pancreatic cancer.</t>
  </si>
  <si>
    <t>CA19-9 is low/within normal range (30), which argues against pancreatic cancer. The other markers (LYVE1 very low, REG1B modest, TFF1 elevated) do not form a strong pancreatic-cancer pattern without a CA19-9 rise; overall biomarker profile is more consistent with non-malignant/pancreatic inflammation-related changes than cancer.</t>
  </si>
  <si>
    <t>CA19-9 is extremely elevated (11740), far above typical benign elevations and highly suggestive of pancreatic malignancy in this evaluation context. Additional pancreatic-associated markers (REG1B, TFF1, LYVE1) are also markedly elevated, supporting a cancer profile. Normal creatinine reduces the likelihood that CA19-9 is falsely elevated due to renal impairment.</t>
  </si>
  <si>
    <t>CA19-9 is very low/normal (6.71), which argues strongly against pancreatic cancer. The additional markers provided (LYVE1, REG1A/REG1B, TFF1) do not show a pattern that outweighs the low CA19-9; creatinine is low and unlikely to be falsely elevating tumor markers. Overall biomarker profile is more consistent with no pancreatic cancer.</t>
  </si>
  <si>
    <t>CA19-9 is extremely elevated (1621), which is highly suggestive of pancreatic malignancy in the appropriate clinical context. Although creatinine is markedly high (renal dysfunction can increase CA19-9), the magnitude of elevation plus an age typical for pancreatic cancer supports cancer as the most likely explanation. The additional protein markers (elevated TFF1/REG family) are also more consistent with pancreatic tumor-associated signatures than with a purely benign process.</t>
  </si>
  <si>
    <t>CA19-9 is markedly elevated (538), which is strongly suggestive of pancreatic malignancy in this age group. The associated biomarker panel shows very high TFF1 and elevated REG1B/REG1A, a pattern consistent with pancreatic cancer rather than benign disease. Normal creatinine reduces the likelihood that CA19-9 is falsely elevated from renal impairment.</t>
  </si>
  <si>
    <t>CA19-9 is very low (6.9), which argues strongly against pancreatic cancer in a typical secretor. Other provided biomarkers do not show a clear malignant pattern sufficient to outweigh the low CA19-9, and renal function (creatinine ~0.95) is normal, reducing concern for CA19-9 distortion from kidney impairment. Overall profile is more consistent with non-cancer.</t>
  </si>
  <si>
    <t>CA19-9 is within/near normal range (~31 U/mL; typically concerning when clearly elevated, e.g., &gt;37 and especially much higher). Creatinine is normal, reducing concern for renal-related marker distortion. Although LYVE1/REG1B/TFF1 show some elevation, the absence of a clearly elevated CA19-9 makes pancreatic cancer less likely overall in this profile.</t>
  </si>
  <si>
    <t>CA19-9 is markedly elevated (468), which is strongly suspicious for pancreatic malignancy. The supporting protein biomarkers are also very high (notably TFF1 ~2207 and elevated REG1A/REG1B), a pattern more consistent with pancreatic cancer-associated signatures than benign disease. Although the patient is young and creatinine is very high (which can confound CA19-9), the magnitude and multi-marker concordance still favor cancer.</t>
  </si>
  <si>
    <t>CA19-9 is elevated (66; above typical 37 cutoff) and there is a strongly abnormal multi-marker pattern with very high TFF1 and elevated REG1B/REG1A, which together are more consistent with pancreatic malignancy than benign disease. Creatinine is normal, making a renal-related artifact less likely.</t>
  </si>
  <si>
    <t>CA19-9 is only mildly elevated (50) and can rise with benign biliary/inflammatory conditions; age is relatively young for pancreatic cancer. The protein markers (LYVE1, REG1B, TFF1, REG1A) do not show a strongly cancer-typical pattern with markedly elevated CA19-9, and creatinine is normal, reducing concern for confounding renal retention. Overall profile is more consistent with non-malignant or low-likelihood disease than pancreatic cancer.</t>
  </si>
  <si>
    <t>CA19-9 is low/within normal range (22), which argues against pancreatic cancer. Creatinine is normal, reducing concern for CA19-9 distortion from renal dysfunction. Although REG1B/TFF1 appear elevated, in the setting of a normal CA19-9 and no other supportive clinical signals, the overall biomarker pattern is more consistent with non-malignant pancreatic/inflammatory changes than cancer.</t>
  </si>
  <si>
    <t>CA19-9 is extremely elevated (1098), far above typical benign-range elevations and strongly suggestive of pancreatic malignancy in this context. The accompanying panel markers (notably very high TFF1 along with elevated REG1B/REG1A and LYVE1) are also consistent with a pancreatic cancer biomarker profile. Creatinine is only mildly elevated and does not readily explain CA19-9 at this magnitude.</t>
  </si>
  <si>
    <t>CA19-9 is only mildly elevated (43) and can rise from benign biliary/pancreatic inflammation, especially in older patients. Creatinine is low/normal, reducing concern for renal-related marker distortion. While LYVE1/REG1B/TFF1/REG1A show elevations, the overall pattern lacks a clearly high CA19-9 signal typical of many pancreatic cancers, making cancer less likely than a non-malignant pancreatic condition.</t>
  </si>
  <si>
    <t>CA19-9 is low/normal (16.2), which argues against pancreatic cancer. Although REG1B and TFF1 are markedly elevated, the creatinine is very high (~193) suggesting significant renal dysfunction that can confound biomarker levels and elevate non-CA19-9 proteins; with a normal CA19-9 and no other supportive cancer indicators, cancer is less likely.</t>
  </si>
  <si>
    <t>CA19-9 is markedly elevated (155, above the typical 37 cutoff), which strongly raises suspicion for pancreatic malignancy. The additional protein biomarkers (LYVE1, REG1B, TFF1) are also elevated in a pattern commonly associated with pancreatic cancer panels. Normal creatinine reduces concern that CA19-9 elevation is due to renal impairment.</t>
  </si>
  <si>
    <t>CA19-9 is low/within normal range (12.84), which argues against pancreatic cancer. At age 40 the baseline risk is lower, and creatinine is not elevated to suggest biomarker distortion from renal impairment. The additional markers (LYVE1/REG1B/TFF1/REG1A) do not show a pattern strongly suggestive of malignancy in the absence of CA19-9 elevation.</t>
  </si>
  <si>
    <t>CA19-9 is markedly elevated (523), which is strongly suspicious for pancreatic malignancy. The accompanying markedly abnormal pancreatic-associated markers (very high REG1B/REG1A and elevated TFF1/LYVE1) support pancreatic pathology consistent with cancer rather than a benign state. Although creatinine is high (possible renal dysfunction that can modestly elevate CA19-9), the degree of CA19-9 elevation plus the multi-marker pattern makes pancreatic cancer likely.</t>
  </si>
  <si>
    <t>CA19-9 is extremely elevated (1318; far above typical benign ranges and above common cancer-associated cutoffs). Additional pancreatic-associated protein markers (notably very high TFF1 and markedly elevated REG1A/REG1B) support a malignant pancreatic process. Creatinine is also very high and could contribute to CA19-9 elevation via impaired clearance, but the magnitude of CA19-9 plus the concurrent tumor-marker pattern makes pancreatic cancer more likely than non-malignant causes.</t>
  </si>
  <si>
    <t>CA19-9 is markedly elevated (309), which is strongly suspicious for pancreatic malignancy in the absence of an obvious alternative cause. Age (64) increases baseline risk, and the accompanying biomarker pattern (high LYVE1/REG1B/TFF1 with elevated REG1A) is consistent with pancreatic cancer-associated signatures rather than normal findings. Creatinine is low/normal, making renal retention an unlikely explanation for the CA19-9 elevation.</t>
  </si>
  <si>
    <t>CA19-9 is elevated (72; above typical normal &lt;37), which raises suspicion for pancreatic malignancy in an older patient. The accompanying panel shows high LYVE1/REG1B/TFF1 signals consistent with a cancer-associated biomarker pattern rather than isolated benign variation. Creatinine is not markedly abnormal and does not explain CA19-9 elevation.</t>
  </si>
  <si>
    <t>CA19-9 is markedly elevated (158), supporting pancreatic malignancy, and the complementary protein markers (LYVE1, REG1B, TFF1) are also substantially elevated in a pattern consistent with pancreatic cancer. Although creatinine is high (possible renal impairment that can modestly inflate CA19-9), the combined biomarker profile still strongly favors cancer.</t>
  </si>
  <si>
    <t>CA19-9 is markedly elevated (147.7; commonly concerning when &gt;37 and especially &gt;100) and the associated protein biomarker panel shows strong elevations (LYVE1, REG1B, and very high TFF1), a pattern more consistent with pancreatic malignancy than benign disease; low creatinine does not explain these tumor-marker elevations.</t>
  </si>
  <si>
    <t>CA19-9 is markedly elevated (216), which is strongly suggestive of pancreatic malignancy in the appropriate clinical context. The accompanying pancreatic biomarker pattern (elevated REG1A/REG1B and high TFF1) is more consistent with pancreatic cancer than benign disease. Creatinine is only mildly elevated and does not explain the degree of CA19-9 increase.</t>
  </si>
  <si>
    <t>CA19-9 is extremely elevated (1916), far above typical benign ranges and strongly suggestive of pancreatic malignancy. Age 73 increases baseline risk. REG1B and TFF1 are markedly elevated, consistent with pancreatic cancer-associated protein signatures; mild creatinine elevation is unlikely to explain such a high CA19-9.</t>
  </si>
  <si>
    <t>CA19-9 is markedly elevated (655), far above typical benign ranges and strongly suggestive of pancreatic malignancy in this context. The pancreatic cancer–associated protein markers (LYVE1, REG1B, TFF1) are also very high, reinforcing a cancer pattern rather than isolated inflammation. Creatinine is low/normal, making renal-caused CA19-9 elevation unlikely.</t>
  </si>
  <si>
    <t>CA19-9 is markedly elevated (537), far above typical benign ranges and strongly suggestive of pancreatic malignancy in this context. Supporting pancreatic cancer–associated protein markers (REG1B/REG1A, TFF1, LYVE1) are also elevated, and creatinine is normal, reducing concern for renal-related marker distortion.</t>
  </si>
  <si>
    <t>CA19-9 is markedly elevated (190.7), which is strongly suggestive of pancreatic malignancy in the right clinical context. The accompanying biomarker profile (elevated LYVE1, REG1B/REG1A, and very high TFF1) is consistent with pancreatic disease patterns seen in cancer-focused panels. Mildly elevated creatinine could affect CA19-9 slightly, but not typically to this degree, so overall findings favor pancreatic cancer.</t>
  </si>
  <si>
    <t>CA19-9 is elevated (120, above typical normal range), which supports pancreatic malignancy risk. The biomarker panel shows markedly high REG1B and TFF1 with elevated LYVE1, a pattern more consistent with pancreatic cancer signatures than benign states. Although creatinine is very high (renal dysfunction can inflate CA19-9), the multi-marker elevation beyond CA19-9 makes cancer more likely overall.</t>
  </si>
  <si>
    <t>CA19-9 is low/normal (21), which argues against pancreatic cancer. Age is relatively young for typical PDAC presentation. Although creatinine is markedly elevated (possible renal dysfunction), which can confound some lab values, there is no CA19-9 elevation or clear high-risk biomarker pattern here to suggest cancer.</t>
  </si>
  <si>
    <t>CA19-9 is extremely elevated (1471), far above typical benign-range elevations and strongly suggestive of pancreatic malignancy. Age 65 increases baseline risk, and the accompanying biomarker profile (high LYVE1/REG1B/TFF1 with abnormal REG1A) is consistent with a pancreatic cancer signature rather than non-malignant pancreatitis alone.</t>
  </si>
  <si>
    <t>CA19-9 is very low (6.0), which is not supportive of pancreatic cancer. Age is young (37) and there are no markedly abnormal cancer-associated biomarker signals provided; overall pattern fits a non-cancer profile rather than pancreatic malignancy.</t>
  </si>
  <si>
    <t>CA19-9 is very low (2.0), which argues strongly against pancreatic cancer in the absence of other red flags. Age is relatively young (44). Creatinine is normal, reducing concern for biomarker distortion from renal dysfunction. While REG1A/REG1B, LYVE1, and TFF1 show some elevation, the overall profile—especially the very low CA19-9—fits better with non-malignant pancreatic/inflammatory changes than pancreatic cancer.</t>
  </si>
  <si>
    <t>CA19-9 is within a normal/low range (26), which argues against pancreatic cancer. The patient is young (38). Although creatinine is markedly elevated (possible renal dysfunction) and REG1B/TFF1 are relatively high, these can be influenced by non-malignant pancreatic/inflammatory or systemic conditions and are not specific enough to override the low CA19-9 and overall profile.</t>
  </si>
  <si>
    <t>CA19-9 is extremely low (1.0), which argues strongly against pancreatic cancer. Although REG1B/TFF1 are elevated, these markers are less specific and can rise with pancreatitis or other GI/inflammatory conditions; very high creatinine suggests significant renal dysfunction that can confound biomarker levels. Overall pattern is more consistent with non-cancer elevation rather than pancreatic malignancy.</t>
  </si>
  <si>
    <t>CA19-9 is low/within normal range (18.23, not suggestive of pancreatic cancer). Creatinine is normal, reducing concern for renal-related CA19-9 elevation. The additional markers (LYVE1, REG1B, TFF1, REG1A) do not show a pattern strongly indicative of pancreatic cancer in the absence of an elevated CA19-9. Overall biomarker profile favors no pancreatic cancer.</t>
  </si>
  <si>
    <t>CA19-9 is markedly elevated (641), strongly suggestive of pancreatic malignancy in the right clinical context. Supporting biomarker pattern shows very high TFF1 with elevated REG1B/REG1A, which is more consistent with pancreatic cancer–associated signature than benign disease. Creatinine is normal, reducing likelihood of false CA19-9 elevation from renal dysfunction.</t>
  </si>
  <si>
    <t>CA19-9 is low/normal (10), which argues strongly against pancreatic cancer. Age is young (38), lowering pre-test probability. While REG1B/TFF1/LYVE1 are not clearly low, without an elevated CA19-9 or other strong clinical indicators these values are more consistent with non-malignant pancreatic/inflammatory or benign variation than cancer.</t>
  </si>
  <si>
    <t>CA19-9 is extremely elevated (1475), far above typical benign ranges and strongly suggestive of pancreatic malignancy. Additional pancreatic cancer–associated protein markers (LYVE1, REG1B, TFF1, REG1A) are markedly elevated, supporting a malignant profile rather than non-cancer. Low creatinine does not explain the CA19-9 rise.</t>
  </si>
  <si>
    <t>CA19-9 is markedly elevated (328), which is strongly suspicious for pancreatic adenocarcinoma in the appropriate clinical context. The additional protein biomarkers (LYVE1, REG1B/REG1A, TFF1) are also elevated in patterns commonly associated with pancreatic cancer panels, supporting malignancy rather than a benign process. Creatinine is not severely elevated, making renal-related false elevation of CA19-9 less likely.</t>
  </si>
  <si>
    <t>CA19-9 is markedly elevated (182), which is strongly suspicious for pancreatic malignancy in this clinical context. The accompanying pancreatic biomarker panel shows substantial elevations (notably REG1B, TFF1, and REG1A), a pattern consistent with pancreatic cancer rather than normal/benign baseline. Low creatinine does not explain the CA19-9 rise.</t>
  </si>
  <si>
    <t>CA19-9 is low/within normal range (20), which argues against pancreatic cancer. Although creatinine is markedly elevated (possible renal dysfunction) and several protein markers (e.g., REG1B/TFF1/REG1A) are high, these can be influenced by non-cancer pancreatic/inflammatory conditions and impaired renal clearance; without an elevated CA19-9 or other strong cancer-indicative pattern, cancer is less likely.</t>
  </si>
  <si>
    <t>CA19-9 is low/within normal range (11), which argues against pancreatic cancer. Creatinine is normal, reducing concern for renal-related marker distortion. The additional biomarkers (LYVE1, REG1B, TFF1, REG1A) do not show a pattern strongly suggestive of pancreatic malignancy in the setting of a normal CA19-9, so overall likelihood of pancreatic cancer is low.</t>
  </si>
  <si>
    <t>CA19-9 is low/within normal range (22), which argues against pancreatic cancer. The other markers (LYVE1, REG1B/REG1A, TFF1) are not showing a pattern of marked malignant elevation here, and there are no additional clinical features provided suggesting cancer. Overall biomarker profile is more consistent with non-cancer.</t>
  </si>
  <si>
    <t>CA19-9 is only mildly elevated (62) and can rise in benign biliary/pancreatic inflammation; creatinine is normal, reducing confounding from renal impairment. The additional protein markers (LYVE1/REG1B/TFF1/REG1A) do not show a strongly malignant-pattern elevation relative to the modest CA19-9, so overall profile is more consistent with non-cancer/benign disease than pancreatic cancer.</t>
  </si>
  <si>
    <t>CA19-9 is very low (5.8), which is not supportive of pancreatic cancer. Although creatinine is markedly elevated and some pancreatic protein markers (e.g., REG1B/TFF1/LYVE1) are increased, these can be influenced by non-malignant inflammation and reduced renal clearance; without an elevated CA19-9 pattern typical of PDAC, overall likelihood favors no cancer.</t>
  </si>
  <si>
    <t>CA19-9 is extremely elevated (1624), far above levels typically seen in benign conditions, strongly suggesting pancreatic malignancy. Additional pancreatic-associated markers (REG1A/REG1B, TFF1, LYVE1) are elevated in a pattern consistent with pancreatic cancer; creatinine is low and does not explain CA19-9 elevation via renal impairment.</t>
  </si>
  <si>
    <t>CA19-9 is low/near-normal (30) which argues against pancreatic cancer. The panel markers (LYVE1, REG1B, TFF1, REG1A) appear not in a pattern strongly suggestive of malignancy, and there is no markedly elevated CA19-9 to support cancer despite older age.</t>
  </si>
  <si>
    <t>CA19-9 is extremely elevated (1503), far above typical benign ranges and strongly suggestive of pancreatic malignancy in an older patient. Supporting biomarkers (notably high REG1B/REG1A and TFF1) are consistent with pancreatic disease/cancer signatures. Creatinine is normal, reducing the likelihood that CA19-9 elevation is due to renal impairment.</t>
  </si>
  <si>
    <t>CA19-9 is clearly elevated (147; above typical 37 cutoff), which is a strong risk signal for pancreatic malignancy in this evaluation context. Creatinine is low/normal so reduced renal clearance is unlikely to explain marker elevations. The additional biomarker panel shows multiple markedly elevated proteins (LYVE1, REG1B, REG1A, and especially TFF1), a pattern more consistent with pancreatic cancer-associated signature than with normal findings.</t>
  </si>
  <si>
    <t>CA19-9 is markedly elevated (600), strongly suggestive of pancreatic malignancy in this evaluation context. Supporting biomarker pattern shows elevated REG1B and TFF1 (and high LYVE1), which are commonly increased in pancreatic cancer panels; creatinine is low and does not explain the CA19-9 rise via renal impairment. Advanced age further increases pretest probability.</t>
  </si>
  <si>
    <t>CA19-9 is very low (5), which argues strongly against pancreatic cancer. Although creatinine is elevated (possible renal impairment) and some protein markers (e.g., REG1B/TFF1/LYVE1) are present, the absence of CA19-9 elevation makes cancer unlikely in this profile, suggesting non-malignant or inflammatory/benign causes instead.</t>
  </si>
  <si>
    <t>CA19-9 is very low (3.53), which is strongly against pancreatic cancer in the absence of other major red flags. The other markers (LYVE1, REG1A/REG1B, TFF1) do not show a pattern suggestive of malignancy and can be influenced by benign pancreatic/inflammatory conditions; overall the biomarker profile is more consistent with no pancreatic cancer.</t>
  </si>
  <si>
    <t>CA19-9 is within/near the normal range (~30) which argues against pancreatic cancer. The additional protein markers show some elevations (e.g., REG1A/REG1B), but these can rise with benign pancreatic/inflammatory conditions and are not strongly cancer-specific without a clearly elevated CA19-9. Creatinine is mildly elevated, which can affect lab values but does not itself indicate pancreatic cancer.</t>
  </si>
  <si>
    <t>CA19-9 is extremely elevated (31,000), far above levels typically seen in benign pancreatic/biliary disease, and the supporting biomarker panel (markedly high LYVE1, REG1B, TFF1, and REG1A) is strongly consistent with pancreatic malignancy. No renal impairment suggested by creatinine that would explain such extreme tumor-marker elevation.</t>
  </si>
  <si>
    <t>CA19-9 is extremely low (0.6), which is strongly against pancreatic cancer. The additional protein markers (LYVE1, REG1A, REG1B, TFF1) do not show a pattern suggestive of malignancy in the absence of CA19-9 elevation, and creatinine is normal, reducing concern for confounding elevation from renal dysfunction.</t>
  </si>
  <si>
    <t>CA19-9 is markedly elevated (601), which is strongly suggestive of pancreatic malignancy in the appropriate clinical context. Creatinine is normal, reducing the likelihood that the CA19-9 elevation is due to renal impairment. The accompanying protein panel (notably very high TFF1 and elevated REG1B/REG1A) is consistent with pancreatic tumor-associated biomarker patterns, supporting a cancer-positive classification.</t>
  </si>
  <si>
    <t>CA19-9 is extremely elevated (5855), far above levels typically seen in benign conditions, strongly indicating pancreatic malignancy. Supporting pancreatic cancer biomarker pattern includes markedly high REG1B and elevated TFF1/REG1A. Although creatinine is high (possible renal impairment can raise CA19-9), the magnitude of CA19-9 elevation plus the accompanying biomarker profile makes pancreatic cancer very likely.</t>
  </si>
  <si>
    <t>CA19-9 is markedly elevated (271.7), which is strongly suggestive of pancreatic malignancy in the appropriate clinical context. The accompanying panel shows substantially elevated LYVE1, REG1B, and especially TFF1, a pattern more consistent with pancreatic cancer signatures than benign disease. Although creatinine is very high (could inflate CA19-9 via cholestasis/renal dysfunction), the multi-marker elevation supports a cancer classification.</t>
  </si>
  <si>
    <t>CA19-9 is markedly elevated (291), which strongly raises suspicion for pancreatic cancer in this evaluation context. The additional panel markers (notably high REG1B and elevated TFF1/LYVE1 with REG1A present) are consistent with a malignant-associated biomarker pattern rather than a low-risk profile. Elevated creatinine could affect CA19-9 clearance but is unlikely to explain this degree of elevation alone.</t>
  </si>
  <si>
    <t>CA19-9 is markedly elevated (167.5, above the typical 37 U/mL cutoff), which strongly supports pancreatic malignancy in an elderly patient. Creatinine is normal, reducing the likelihood that CA19-9 is falsely elevated from renal dysfunction. The panel markers (notably elevated LYVE1/TFF1 with increased REG1A/REG1B) are consistent with a cancer-associated biomarker pattern rather than a low-risk profile.</t>
  </si>
  <si>
    <t>CA19-9 is very low (6.9), which argues strongly against pancreatic cancer in typical presentations. Although creatinine is markedly elevated (renal dysfunction can confound some lab values), there is no supportive rise in CA19-9, and the reported protein biomarkers (LYVE1/REG1B/TFF1/REG1A) do not show a pattern strongly suggestive of pancreatic malignancy in this context. Overall biomarker profile favors no pancreatic cancer.</t>
  </si>
  <si>
    <t>CA19-9 is clearly elevated (114.8), which supports pancreatic malignancy in the right context. In addition, multiple pancreatic-associated protein biomarkers (REG1B, TFF1, LYVE1) are markedly elevated, a pattern more consistent with pancreatic cancer signatures than with normal findings. Creatinine is elevated but does not by itself explain the combined strong multi-marker elevation.</t>
  </si>
  <si>
    <t>CA19-9 is markedly elevated (422), which strongly supports pancreatic malignancy in this clinical context. The accompanying biomarker pattern (elevated LYVE1, REG1B, and very high TFF1) is more consistent with pancreatic cancer–associated signatures than with a benign process, making cancer likely.</t>
  </si>
  <si>
    <t>CA19-9 is low/normal (30) and not suggestive of pancreatic cancer. The other biomarkers do not show a strongly malignant pattern; REG1B is only modestly elevated and REG1A is 0, which is not supportive of pancreatic cancer. Overall profile is more consistent with non-cancer.</t>
  </si>
  <si>
    <t>CA19-9 is extremely elevated (11740), far above levels typically seen in benign conditions, strongly indicating pancreatic malignancy. Age (66) supports higher baseline risk, creatinine is normal (less likelihood of false elevation from renal impairment), and the associated protein biomarker pattern (elevated LYVE1/REG1B/TFF1) is consistent with pancreatic cancer signatures.</t>
  </si>
  <si>
    <t>CA19-9 is very low (6.71), which argues strongly against pancreatic cancer. The other provided biomarkers do not show a pattern suggesting malignancy in the absence of CA19-9 elevation, and there are no clinical red flags in the record to offset this.</t>
  </si>
  <si>
    <t>CA19-9 is extremely elevated (1621), a level strongly suggestive of pancreatic malignancy in the appropriate clinical context. While creatinine is markedly high and can confound CA19-9, the accompanying cancer-associated protein pattern (notably very high TFF1 along with elevated REG1B/REG1A and LYVE1) supports a pancreatic cancer signature rather than isolated renal-related CA19-9 elevation.</t>
  </si>
  <si>
    <t>CA19-9 is markedly elevated (538), which is strongly suggestive of pancreatic malignancy in the appropriate clinical context. Additional pancreatic cancer–associated protein biomarkers (notably very high TFF1 and elevated REG1B/REG1A patterns) support a malignant process rather than benign disease, and creatinine is normal so CA19-9 elevation is less likely due to renal impairment.</t>
  </si>
  <si>
    <t>CA19-9 is very low (6.9), which is not suggestive of pancreatic cancer in the absence of other strong indicators. Creatinine is normal, reducing concern for CA19-9 distortion from renal dysfunction. The additional biomarkers (LYVE1, REG1B, TFF1, REG1A) do not show a clearly malignant pattern here, so overall findings are more consistent with no pancreatic cancer.</t>
  </si>
  <si>
    <t>CA19-9 is within the normal range (~&lt;37), which lowers suspicion for pancreatic cancer. Creatinine is normal, reducing concern for spurious CA19-9 elevation from renal dysfunction. While REG1B and TFF1 appear elevated, the overall profile (especially non-elevated CA19-9) is more consistent with non-malignant pancreatic/inflammatory changes than pancreatic cancer.</t>
  </si>
  <si>
    <t>CA19-9 is markedly elevated (468.3), which is strongly suggestive of pancreatic malignancy in the appropriate clinical context. The accompanying panel markers (very high REG1B and elevated TFF1/REG1A) are consistent with a pancreatic cancer-associated biomarker signature. Although creatinine is very high (renal dysfunction can inflate CA19-9), the magnitude and multi-marker elevation together still favor pancreatic cancer.</t>
  </si>
  <si>
    <t>CA19-9 is elevated (66) above typical normal range, and the pancreatic biomarker panel shows markedly high TFF1 and elevated REG1B/LYVE1, a pattern more consistent with pancreatic malignancy than benign disease; creatinine is normal so CA19-9 is less likely falsely elevated from renal impairment.</t>
  </si>
  <si>
    <t>CA19-9 is only mildly elevated (50) and can rise in benign biliary/inflammatory conditions; creatinine is normal, reducing concern for spurious CA19-9 elevation. The additional protein markers (LYVE1, REG1B, TFF1) are not strikingly high and REG1A is within a range more consistent with non-malignant pancreatic/inflammatory patterns than pancreatic cancer.</t>
  </si>
  <si>
    <t>CA19-9 is low/within typical non-cancer range (~22), which argues against pancreatic cancer. Creatinine is normal so CA19-9 is unlikely to be falsely altered by renal dysfunction. While LYVE1/REG1B/TFF1 are present, the strongest standard clinical marker here (CA19-9) does not support malignancy, making cancer less likely overall.</t>
  </si>
  <si>
    <t>CA19-9 is extremely elevated (1098), far above typical benign ranges and strongly suggestive of pancreatic malignancy in the right clinical context. Supporting biomarkers commonly associated with pancreatic cancer (LYVE1, REG1B, TFF1, REG1A) are also markedly elevated, reinforcing a cancer pattern rather than isolated benign biliary disease; creatinine is only mildly elevated and does not explain these tumor-marker levels.</t>
  </si>
  <si>
    <t>CA19-9 is only mildly elevated (43) which is nonspecific and can occur with benign biliary/pancreatic conditions, especially in older patients. The other protein markers (LYVE1, REG1A/REG1B, TFF1) do not show a pattern strongly suggestive of pancreatic cancer in this record, and there is no major corroborating signal from creatinine to suggest a confounding severe illness. Overall biomarker profile is more consistent with no cancer than with pancreatic cancer.</t>
  </si>
  <si>
    <t>CA19-9 is low/normal (16.2), which argues against pancreatic cancer. Although creatinine is markedly elevated (renal dysfunction can alter biomarker levels and reflect comorbidity), the pancreatic cancer–associated marker pattern is not strongly suggestive here: LYVE1 is not notably high and the REG/TFF markers, while present, do not show a clear cancer-indicative profile without an elevated CA19-9. Overall likelihood favors no pancreatic cancer.</t>
  </si>
  <si>
    <t>CA19-9 is markedly elevated (155; above common clinical cutoffs ~37 and near/above levels often concerning for malignancy). In addition, the panel shows high REG1B and elevated TFF1/LYVE1 patterns that are more consistent with pancreatic cancer–associated biomarker profiles than benign disease. Creatinine is normal, reducing the likelihood of false CA19-9 elevation from renal impairment.</t>
  </si>
  <si>
    <t>CA19-9 is low/within normal range (12.84), which argues strongly against pancreatic cancer. Age 40 is relatively young for PDAC. The other markers (LYVE1/REG1B/TFF1/REG1A) are not markedly suggestive of a cancer pattern in the absence of an elevated CA19-9, so overall findings favor no pancreatic cancer.</t>
  </si>
  <si>
    <t>CA19-9 is markedly elevated (523), which strongly supports pancreatic malignancy in the right clinical context. Additional pancreatic-associated markers (notably very high REG1B and elevated REG1A/TFF1) further align with pancreatic pathology seen in cancer panels. Although creatinine is high (renal dysfunction can inflate CA19-9 and confound interpretation), the degree of elevation and multi-marker pattern still makes pancreatic cancer the more likely diagnosis.</t>
  </si>
  <si>
    <t>CA19-9 is extremely elevated (1318), which is strongly suggestive of pancreatic adenocarcinoma in the appropriate clinical context. REG1A/REG1B and TFF1 are also markedly elevated, supporting pancreatic pathology/malignancy. While creatinine is very high (can confound CA19-9 via cholestasis/renal dysfunction), the magnitude and multi-marker elevation make pancreatic cancer likely.</t>
  </si>
  <si>
    <t>CA19-9 is markedly elevated (309), which is strongly suspicious for pancreatic malignancy in the appropriate clinical context. Supporting protein biomarkers (notably very high TFF1 with elevated REG1B/REG1A and LYVE1) align with patterns seen in pancreatic cancer panels rather than normal/benign ranges. Creatinine is normal, reducing concern that CA19-9 elevation is driven by renal impairment.</t>
  </si>
  <si>
    <t>CA19-9 is only mildly elevated (72) and can rise with benign biliary/pancreatic inflammation; creatinine is not markedly abnormal. The other biomarkers (LYVE1, REG1B, TFF1, REG1A) do not show a clearly extreme pattern suggestive of pancreatic cancer in this record, making cancer less likely than non-malignant causes.</t>
  </si>
  <si>
    <t>CA19-9 is markedly elevated (158), supporting pancreatic malignancy risk. The accompanying biomarker pattern (elevated LYVE1/REG1B and very high TFF1) is more consistent with a cancer-associated signature than benign disease. Although creatinine is high (which can contribute to CA19-9 elevation via impaired clearance), the overall multi-marker elevation favors pancreatic cancer.</t>
  </si>
  <si>
    <t>CA19-9 is markedly elevated (147.7; commonly &gt;37 is abnormal and levels &gt;100 raise concern for pancreatic malignancy). In addition, the pancreatic cancer–associated protein markers (LYVE1, REG1B, TFF1) are all very high, supporting a malignant pancreatic process rather than an isolated benign elevation of CA19-9. Overall biomarker pattern is more consistent with pancreatic cancer.</t>
  </si>
  <si>
    <t>CA19-9 is markedly elevated (216), which is strongly suggestive of pancreatic malignancy in the appropriate context. Creatinine is mildly elevated but not enough to plausibly account for this degree of CA19-9 increase. Additional protein biomarkers (e.g., REG1A/REG1B, TFF1, LYVE1) appear elevated/abnormal as well, supporting a cancer-associated profile rather than a benign process.</t>
  </si>
  <si>
    <t>CA19-9 is extremely elevated (1916), far above typical benign ranges and strongly suggestive of pancreatic malignancy. Age 73 increases baseline risk. Supporting tumor-associated markers (elevated REG1B/TFF1/REG1A and LYVE1 pattern) are consistent with pancreatic cancer; creatinine is only mildly elevated and does not explain such a high CA19-9.</t>
  </si>
  <si>
    <t>CA19-9 is markedly elevated (655), which is strongly suspicious for pancreatic malignancy in this age group. The supporting biomarker panel (very high LYVE1, REG1B, and TFF1) also aligns with a cancer-associated signature rather than benign disease. Low creatinine does not explain the CA19-9 elevation, making pancreatic cancer highly likely.</t>
  </si>
  <si>
    <t>CA19-9 is markedly elevated (537), a level strongly suggestive of pancreatic malignancy in the appropriate context; supportive biomarker pattern with elevated REG1B/REG1A and TFF1 (pancreatic injury/tumor-associated proteins) increases likelihood. Creatinine is normal, making renal-related CA19-9 elevation less likely.</t>
  </si>
  <si>
    <t>CA19-9 is markedly elevated (~191), which is strongly suggestive of pancreatic malignancy in the appropriate clinical context. The additional protein markers (LYVE1, REG1B, TFF1) are also substantially elevated and align with a pancreatic cancer biomarker pattern rather than isolated benign disease. Mildly elevated creatinine could affect marker clearance slightly, but not enough to explain this overall high-risk profile.</t>
  </si>
  <si>
    <t>CA19-9 is elevated (120), which raises suspicion for pancreatic malignancy in this evaluation context. Although creatinine is markedly high (225) and renal dysfunction can falsely increase CA19-9, the age (76) and pattern of multiple elevated protein biomarkers (LYVE1, REG1B, TFF1) support a cancer-leaning classification rather than a benign explanation alone.</t>
  </si>
  <si>
    <t>CA19-9 is low/normal (21), which argues against pancreatic cancer. Although creatinine is markedly elevated (renal dysfunction can distort biomarker clearance), the cancer-associated protein panel does not show a strongly malignant pattern: LYVE1 is not elevated and REG1A is low; REG1B and TFF1 can rise with benign pancreatic/inflammatory conditions. Overall profile is more consistent with non-cancer.</t>
  </si>
  <si>
    <t>CA19-9 is extremely elevated (1471), a level strongly suggestive of pancreatic malignancy in the appropriate clinical context. The accompanying pancreatic-associated proteins (e.g., REG1B/TFF1) are also markedly elevated, reinforcing a cancer-like biomarker pattern rather than benign disease. Low creatinine does not explain the CA19-9 elevation.</t>
  </si>
  <si>
    <t>CA19-9 is very low (6), which is not suggestive of pancreatic cancer. At age 37, baseline risk is lower. The additional markers (LYVE1, REG1A/REG1B, TFF1) do not show a clearly malignant pattern without an elevated CA19-9 or supportive clinical features, and creatinine is normal, reducing concern for confounding from renal impairment.</t>
  </si>
  <si>
    <t>CA19-9 is very low (2.0), which argues strongly against pancreatic cancer in the absence of other supporting findings. Age is relatively young (44). The additional biomarkers (LYVE1, REG1B, TFF1, REG1A) do not show a pattern strongly suggestive of malignancy, and creatinine is normal, reducing concern for confounding renal effects.</t>
  </si>
  <si>
    <t>CA19-9 is low/within normal range (26), which argues against pancreatic cancer. While creatinine is markedly elevated (possible renal impairment that can confound biomarkers), the cancer-associated pattern is not supported by CA19-9, and the other markers (LYVE1 low; REG1A/REG1B/TFF1 not strongly suggestive here) do not outweigh the low CA19-9 and young age (38).</t>
  </si>
  <si>
    <t>CA19-9 is extremely low (1.0), which argues strongly against pancreatic cancer in most cases. Although other proteins (LYVE1/REG1B/TFF1/REG1A) are elevated, the very high creatinine (321) suggests significant renal dysfunction that can distort biomarker levels and contribute to nonspecific elevations. Overall pattern favors no pancreatic cancer detected.</t>
  </si>
  <si>
    <t>CA19-9 is low/within normal range (18.23), which argues against pancreatic cancer. Creatinine is normal, reducing concern for renal-related biomarker distortion. The additional markers (LYVE1, REG1B, TFF1, REG1A) do not show a pattern strongly suggestive of malignancy in the absence of an elevated CA19-9, so overall cancer is unlikely.</t>
  </si>
  <si>
    <t>CA19-9 is markedly elevated (641), far above typical benign-range values and strongly suggestive of pancreatic malignancy in this age group. The associated biomarker profile (elevated TFF1/REG family markers) is also consistent with pancreatic tumor-associated changes. Normal creatinine reduces concern that CA19-9 is spuriously high from renal impairment.</t>
  </si>
  <si>
    <t>CA19-9 is very low (10), which argues strongly against pancreatic cancer in this evaluation context. While REG1B/TFF1/LYVE1 show some elevation, this pattern can occur with benign pancreatic/inflammatory conditions and is not convincing for malignancy without a CA19-9 rise. Young age (38) also makes cancer less likely; mildly elevated creatinine may reflect renal function but does not explain a cancer pattern here.</t>
  </si>
  <si>
    <t>CA19-9 is extremely elevated (1475), far above levels typically seen in benign conditions, strongly suggesting pancreatic malignancy. Additional pancreatic cancer–associated markers (LYVE1, REG1B/REG1A, TFF1) are markedly elevated, and age (68) increases baseline risk; low creatinine does not explain the CA19-9 rise.</t>
  </si>
  <si>
    <t>CA19-9 is markedly elevated (328), which strongly supports pancreatic malignancy in this context. The additional pancreatic-associated protein markers (REG1B, TFF1, REG1A, LYVE1) are also very high, consistent with a cancer-associated biomarker pattern rather than normal variation. Creatinine is not severely elevated, so the CA19-9 rise is less likely to be primarily from renal clearance issues.</t>
  </si>
  <si>
    <t>CA19-9 is markedly elevated (182), which is strongly suggestive of pancreatic malignancy in this evaluation context. Supporting biomarker pattern shows elevated REG1B/TFF1 and REG1A, consistent with pancreatic disease signatures seen in cancer assays. Low creatinine is not a confounder for CA19-9 elevation here. Overall profile favors pancreatic cancer over benign causes.</t>
  </si>
  <si>
    <t>CA19-9 is low/normal (20), which argues against pancreatic cancer. Although creatinine is markedly elevated (possible renal dysfunction), this would more often raise CA19-9 via reduced clearance rather than keep it normal. The additional protein markers (LYVE1, REG1B, TFF1, REG1A) are not strongly suggestive of a pancreatic cancer pattern in the absence of an elevated CA19-9 and at this younger age.</t>
  </si>
  <si>
    <t>CA19-9 is low/within normal range (11), which argues against pancreatic cancer. Creatinine is normal, reducing concern for spurious CA19-9 elevation or major systemic illness. The additional protein markers (LYVE1, REG1B, TFF1, REG1A) do not show a pattern strongly suggestive of malignancy in the absence of an elevated CA19-9, so overall findings favor no pancreatic cancer.</t>
  </si>
  <si>
    <t>CA19-9 is low/within typical non-malignant range (22), which argues against pancreatic cancer. The additional markers (LYVE1, REG1B/REG1A, TFF1) do not show a pattern strongly suggestive of malignancy in the absence of an elevated CA19-9. Overall biomarker profile is more consistent with non-cancer.</t>
  </si>
  <si>
    <t>CA19-9 is elevated (62; above typical normal ~37), and the accompanying protein biomarkers (notably very high REG1B and elevated LYVE1/TFF1) fit a pattern more consistent with pancreatic malignancy than benign disease. Normal creatinine reduces the likelihood that CA19-9 is falsely elevated from renal impairment.</t>
  </si>
  <si>
    <t>CA19-9 is very low (5.8), which argues strongly against pancreatic cancer in most cases. Although creatinine is markedly elevated (renal dysfunction can alter lab profiles), the pancreatic-associated protein markers provided (LYVE1, REG1B, TFF1, REG1A) do not show a pattern suggestive of malignancy in the absence of an elevated CA19-9. Overall biomarker profile is more consistent with non-cancer.</t>
  </si>
  <si>
    <t>CA19-9 is extremely elevated (1624), a level strongly associated with pancreatic malignancy in the appropriate clinical context. The accompanying biomarker profile (notably very high TFF1 and elevated REG-family markers) is also consistent with a pancreatic cancer signature rather than benign disease. Low creatinine makes renal retention less likely as an explanation for the CA19-9 elevation.</t>
  </si>
  <si>
    <t>CA19-9 is low/near-normal (30), which argues against pancreatic cancer. While REG1B and TFF1 are elevated, these markers can rise with benign pancreatic/inflammatory conditions and are not specific without a concomitant CA19-9 rise. Overall biomarker pattern is more consistent with non-malignant disease than pancreatic cancer.</t>
  </si>
  <si>
    <t>CA19-9 is extremely elevated (1503), far above typical benign ranges, strongly suggesting pancreatic malignancy. Age 73 increases baseline risk. Creatinine is normal, making a false CA19-9 elevation from renal impairment less likely. The accompanying biomarker pattern (elevated LYVE1/REG1B/TFF1/REG1A) is consistent with pancreatic cancer-associated signatures.</t>
  </si>
  <si>
    <t>CA19-9 is markedly elevated (147), which is above typical benign ranges and is a strong risk signal for pancreatic malignancy in an older patient. The additional pancreatic protein markers (LYVE1/REG1A/REG1B/TFF1) are not low and are compatible with a cancer-associated signature. Normal creatinine reduces concern that CA19-9 elevation is from renal impairment, increasing likelihood this reflects true disease.</t>
  </si>
  <si>
    <t>CA19-9 is markedly elevated (600), which is strongly associated with pancreatic cancer in the appropriate clinical context. The additional biomarker panel shows high REG1B and TFF1 with altered LYVE1, a pattern consistent with malignancy-associated pancreatic pathology. No renal impairment signal (low creatinine) to explain a false CA19-9 elevation.</t>
  </si>
  <si>
    <t>CA19-9 is very low (5), which argues strongly against pancreatic cancer in this evaluation context. While creatinine is somewhat elevated, this would more often raise CA19-9 rather than keep it low. The additional markers (LYVE1/REG1B/TFF1) do not show a pattern convincing enough to override the strongly negative CA19-9 signal.</t>
  </si>
  <si>
    <t>CA19-9 is very low (3.53), which is strongly against pancreatic cancer. Other biomarkers (LYVE1, REG1A/REG1B, TFF1) do not show a pattern suggestive of malignancy in the absence of CA19-9 elevation, and creatinine is normal, reducing concern for confounding renal impairment.</t>
  </si>
  <si>
    <t>CA19-9 is low/near-normal (30), which argues against pancreatic cancer in most cases. While creatinine is elevated (can reflect renal dysfunction and affect biomarker interpretation) and REG1A/REG1B are relatively high, the overall profile lacks a strong malignant signal (no markedly elevated CA19-9 and no clear cancer-pattern elevation across markers). This pattern is more consistent with non-malignant pancreatic/inflammatory changes than pancreatic cancer.</t>
  </si>
  <si>
    <t>CA19-9 is extremely elevated (31000), far above typical benign ranges and strongly suggestive of pancreatic malignancy in the appropriate clinical context. Additional pancreatic-associated markers (REG1B/REG1A, TFF1, LYVE1) are markedly elevated, supporting a cancer signature rather than nonspecific inflammation. Creatinine is not elevated enough to explain CA19-9 via renal impairment.</t>
  </si>
  <si>
    <t>CA19-9 is extremely low (0.6), which is strongly against pancreatic cancer. The additional biomarkers (LYVE1, REG1A/REG1B, TFF1) do not show a pattern suggestive of malignancy in the absence of CA19-9 elevation, and creatinine is normal, reducing concern for confounding renal-related marker elevation.</t>
  </si>
  <si>
    <t>CA19-9 is markedly elevated (601), which is strongly suspicious for pancreatic malignancy in this clinical context. The supporting biomarker pattern (very high TFF1 with elevated REG1B/REG1A and LYVE1) is consistent with pancreatic cancer–associated proteomic signatures. Creatinine is normal, reducing concern that the CA19-9 elevation is primarily from renal impairment.</t>
  </si>
  <si>
    <t>CA19-9 is extremely elevated (5855), far above typical benign ranges and strongly suggestive of pancreatic malignancy. Additional pancreatic cancer–associated protein markers (REG1B, TFF1, REG1A) are markedly elevated, supporting a cancer pattern. Although creatinine is high (renal dysfunction can raise CA19-9), the magnitude of CA19-9 and concordant elevation of multiple tumor-associated biomarkers makes pancreatic cancer highly likely.</t>
  </si>
  <si>
    <t>CA19-9 is markedly elevated (271.7; well above the typical 37 U/mL cutoff), which strongly raises suspicion for pancreatic malignancy. While creatinine is very high (242) and could contribute to nonspecific biomarker elevation, the degree of CA19-9 elevation plus a cancer-like pattern in the pancreatic-associated markers (notably high TFF1 and REG1B) makes pancreatic cancer more likely than a benign explanation.</t>
  </si>
  <si>
    <t>CA19-9 is markedly elevated (291), which strongly raises suspicion for pancreatic malignancy. The additional protein biomarkers (LYVE1, REG1B, TFF1) are also substantially elevated, a pattern consistent with pancreatic cancer panels. Although creatinine is high (possible renal dysfunction that can inflate CA19-9), the concurrent elevation across multiple pancreatic-cancer–associated markers supports cancer being likely.</t>
  </si>
  <si>
    <t>CA19-9 is markedly elevated (167.5; typically concerning when &gt;37), and the associated pancreatic cancer marker panel shows strongly elevated LYVE1, REG1B/REG1A, and especially very high TFF1, which collectively fits a high-likelihood pancreatic malignancy profile. Normal creatinine reduces the chance that CA19-9 elevation is from renal impairment.</t>
  </si>
  <si>
    <t>CA19-9 is very low (6.9), which is not suggestive of pancreatic cancer. Although creatinine is markedly elevated (may reflect renal dysfunction that can confound labs), the cancer-associated biomarker pattern is not present here; the REG/TFF1/LYVE1 values do not indicate a clear malignant signature in the context of a normal CA19-9. Overall profile favors no pancreatic cancer.</t>
  </si>
  <si>
    <t>CA19-9 is clearly elevated (114.8), which is suspicious for pancreatic malignancy in the right context. The biomarker panel shows markedly high REG1B and TFF1 (and elevated LYVE1), a pattern more consistent with pancreatic cancer–associated signatures than with normal findings. Although creatinine is elevated (possible renal impairment that can confound tumor markers), the combined elevation across multiple pancreatic cancer–linked markers supports likely cancer.</t>
  </si>
  <si>
    <t>CA19-9 is markedly elevated (422), which strongly supports pancreatic malignancy in this evaluation context. Age 68 increases baseline risk, and the accompanying biomarker pattern with elevated LYVE1/REG1B/TFF1 is consistent with pancreatic cancer-associated signatures rather than benign disease.</t>
  </si>
  <si>
    <t>CA19-9 is low/near-normal (30), which argues against pancreatic cancer in most cases. The additional markers do not show a strong malignant pattern: LYVE1 is very low, REG1B is only mildly elevated, REG1A is absent, and while TFF1 is elevated it is nonspecific and can rise with benign/inflammatory GI conditions. Overall biomarker profile is more consistent with no pancreatic cancer.</t>
  </si>
  <si>
    <t>CA19-9 is extremely elevated (11740), far above typical benign or cholestatic ranges, strongly suggesting pancreatic malignancy. Age 66 increases baseline risk. Creatinine is normal, making renal retention an unlikely cause of marker elevation. The accompanying biomarker pattern (elevated LYVE1/REG1B/TFF1) is also consistent with a pancreatic cancer signature.</t>
  </si>
  <si>
    <t>CA19-9 is very low (6.71), which argues strongly against pancreatic cancer. LYVE1 is also very low, and while REG1B and TFF1 are elevated, these markers can rise with non-malignant pancreatic/inflammatory conditions; without CA19-9 elevation the overall pattern is more consistent with no pancreatic cancer.</t>
  </si>
  <si>
    <t>CA19-9 is extremely elevated (1621), which is strongly suggestive of pancreatic malignancy in the appropriate clinical context. Although creatinine is markedly high (renal dysfunction can inflate CA19-9), the level is far above typical benign/renal-related elevations, and the accompanying biomarker pattern (notably very high TFF1 with elevated REG family markers) supports a pancreatic cancer signal rather than a purely non-malignant cause.</t>
  </si>
  <si>
    <t>CA19-9 is markedly elevated (538), strongly suggestive of pancreatic malignancy in the right clinical context. Additional pancreas-associated markers (REG1B and very high TFF1) are also elevated, reinforcing a cancer-associated biomarker pattern rather than benign disease; creatinine is normal, making nonspecific elevation from renal impairment less likely.</t>
  </si>
  <si>
    <t>CA19-9 is very low (6.9; not suggestive of pancreatic cancer). Creatinine is normal, reducing concern for biomarker distortion from renal dysfunction. The additional protein markers (LYVE1, REG1B, TFF1, REG1A) do not show a pattern strongly indicative of malignancy, so overall findings favor no pancreatic cancer.</t>
  </si>
  <si>
    <t>CA19-9 is 31.24, within the typical normal range (&lt;~37) and not suggestive of pancreatic cancer. Creatinine is normal, reducing concern for biomarker distortion from renal dysfunction. While REG1B and TFF1 appear elevated, without a concomitant CA19-9 rise or other strong malignant-pattern signals, this profile is more consistent with non-cancerous pancreatic/inflammatory changes than pancreatic cancer.</t>
  </si>
  <si>
    <t>CA19-9 is markedly elevated (468.3), which is strongly suggestive of pancreatic malignancy in the right clinical context. The additional protein biomarkers (elevated TFF1 and REG family markers) are also more consistent with pancreatic cancer-associated signatures than with normal findings. Although young age and very high creatinine (which can confound CA19-9) reduce certainty, the overall biomarker pattern remains highly suspicious for pancreatic cancer.</t>
  </si>
  <si>
    <t>CA19-9 is elevated (66; above typical normal cutoff ~37), and the pancreatic protein markers REG1B and especially TFF1 are markedly high, a pattern more consistent with pancreatic malignancy than normal/benign states. Creatinine is normal, reducing the likelihood of a false CA19-9 elevation from renal impairment.</t>
  </si>
  <si>
    <t>CA19-9 is only mildly elevated (50) and can rise with benign biliary/inflammatory conditions; creatinine is normal, reducing concern for non-specific elevation. The protein panel pattern is not strongly suggestive of pancreatic cancer (REG1A low/near-normal and no clear marked elevation trend across LYVE1/REG1B/TFF1 consistent with PDAC), so overall cancer is less likely.</t>
  </si>
  <si>
    <t>CA19-9 is low/within typical reference range (22), which argues against pancreatic cancer. Creatinine is normal, reducing concern for CA19-9 distortion from renal dysfunction. Although REG1B and TFF1 appear elevated, without an accompanying CA19-9 rise and with modest LYVE1, the overall biomarker pattern is more consistent with non-malignant pancreatic/inflammatory changes than cancer.</t>
  </si>
  <si>
    <t>CA19-9 is extremely elevated (1098), far above typical benign ranges and strongly suggestive of pancreatic malignancy. The accompanying cancer-associated marker pattern (notably high TFF1 and elevated REG1B/REG1A) supports a pancreatic cancer profile rather than isolated benign biliary/pancreatic inflammation.</t>
  </si>
  <si>
    <t>CA19-9 is only mildly elevated (43) and can rise from benign biliary/inflammatory causes; it is far below levels more typical of pancreatic cancer. The additional markers (LYVE1, REG1B, TFF1, REG1A) do not show a clearly cancer-typical pattern/high-risk constellation here, so overall findings lean toward no pancreatic cancer.</t>
  </si>
  <si>
    <t>CA19-9 is low/normal (16.2), which argues against pancreatic cancer. Although age is high and creatinine is markedly elevated (which can confound biomarker levels), there is no corresponding CA19-9 elevation; the other protein markers (LYVE1/REG1B/TFF1/REG1A) are not clearly in a distinctly cancer-indicative pattern without an elevated CA19-9. Overall profile is more consistent with non-cancer conditions than pancreatic malignancy.</t>
  </si>
  <si>
    <t>CA19-9 is markedly elevated (155; above typical benign ranges), and the associated protein biomarker panel (notably high REG1B, TFF1, and elevated LYVE1) is more consistent with pancreatic malignancy signatures than non-cancer states. Normal creatinine makes a false CA19-9 elevation from renal impairment less likely.</t>
  </si>
  <si>
    <t>CA19-9 is low/normal (12.84), which argues against pancreatic cancer. Age 40 is relatively young for typical pancreatic adenocarcinoma. While REG1B/TFF1/LYVE1 show elevations that can be seen with pancreatic disease, in the setting of a normal CA19-9 and no other high-risk clinical features provided, this pattern is more consistent with non-malignant pancreatic/inflammatory changes than cancer.</t>
  </si>
  <si>
    <t>CA19-9 is markedly elevated (523), strongly suggestive of pancreatic malignancy in the right clinical context. While creatinine is very high (231.9), which can raise CA19-9 via cholestasis/renal dysfunction, the accompanying panel shows elevated pancreatic-associated proteins (notably very high REG1B and elevated REG1A/TFF1), supporting a pancreatic cancer signal rather than isolated false elevation.</t>
  </si>
  <si>
    <t>CA19-9 is extremely elevated (1318), far above typical benign ranges and strongly suggestive of pancreatic malignancy. The age (68) increases baseline risk, and multiple pancreatic-associated proteins (REG1A/REG1B, TFF1) are markedly elevated, supporting a pancreatic tumor/inflammatory cancer signature. Although creatinine is high (could confound CA19-9 via cholestasis/renal issues), the magnitude and multi-marker elevation make cancer more likely than non-malignant causes.</t>
  </si>
  <si>
    <t>CA19-9 is markedly elevated (309), which is strongly suggestive of pancreatic malignancy in this evaluation context. The accompanying biomarker panel (notably very high TFF1 with elevated REG1B/REG1A) supports a pancreatic cancer-associated signature rather than normal findings. Creatinine is low/normal, making renal impairment less likely as an explanation for elevated markers.</t>
  </si>
  <si>
    <t>CA19-9 is only mildly elevated (72) and can rise with benign biliary/pancreatic inflammation, especially in older patients. The additional markers (LYVE1, REG1B, TFF1, REG1A) do not show a distinctly malignant pattern strongly suggestive of pancreatic cancer in this record, and creatinine is not markedly abnormal to confound interpretation. Overall profile fits borderline/benign causes more than clear pancreatic cancer.</t>
  </si>
  <si>
    <t>CA19-9 is markedly elevated (158) above typical benign ranges, supporting pancreatic malignancy risk. The biomarker panel shows very high TFF1 with elevated LYVE1/REG1B patterns that are more consistent with pancreatic cancer signatures than with normal/benign states. Although creatinine is elevated (possible renal impairment can raise CA19-9), the degree of CA19-9 elevation plus the accompanying tumor-associated markers still makes cancer likely.</t>
  </si>
  <si>
    <t>CA19-9 is markedly elevated (147.7; commonly concerning above ~37), and the pancreatic cancer–associated protein markers (LYVE1, REG1B, TFF1) are all very high, forming a biomarker pattern more consistent with pancreatic malignancy than benign disease. Creatinine is low and does not explain the CA19-9 elevation.</t>
  </si>
  <si>
    <t>CA19-9 is markedly elevated (216), which is strongly suggestive of pancreatic malignancy in the absence of an obvious benign cause. The accompanying panel shows abnormal elevations in pancreas-associated proteins (notably very high TFF1 and elevated REG1A/REG1B), a pattern consistent with pancreatic cancer biomarker signatures. Creatinine is only mildly elevated and does not explain the CA19-9 level.</t>
  </si>
  <si>
    <t>CA19-9 is extremely elevated (1916), far above levels typically seen in benign conditions, and the pancreatic cancer–associated protein markers (LYVE1, REG1B, TFF1) are markedly elevated, a pattern strongly consistent with pancreatic malignancy. Mildly elevated creatinine could affect CA19-9 somewhat but is unlikely to explain this magnitude or the concordant marker profile.</t>
  </si>
  <si>
    <t>CA19-9 is markedly elevated (655), far above typical benign ranges and strongly suggestive of pancreatic malignancy, especially in an elderly patient. The accompanying panel (notably very high TFF1 and elevated REG1B/REG1A with LYVE1 changes) is consistent with a pancreatic cancer biomarker signature rather than non-cancer causes. Low creatinine makes renal retention less likely as an explanation for the CA19-9 level.</t>
  </si>
  <si>
    <t>CA19-9 is markedly elevated (537), a level strongly associated with pancreatic malignancy in the appropriate clinical context. Creatinine is normal, reducing concern that impaired renal clearance is inflating markers. The panel shows elevated cancer-associated proteins (LYVE1, REG1B, TFF1, REG1A), supporting a pancreatic cancer signature rather than benign disease.</t>
  </si>
  <si>
    <t>CA19-9 is markedly elevated (190.7; commonly suspicious when &gt;37 and especially &gt;100). The additional protein markers (LYVE1, REG1B, TFF1) are also substantially elevated, a pattern consistent with pancreatic malignancy rather than isolated benign elevation. Mildly elevated creatinine could affect markers slightly but is unlikely to explain this degree/pattern of elevation.</t>
  </si>
  <si>
    <t>CA19-9 is elevated (120), which is suspicious for pancreatic malignancy in an elderly patient. The protein panel shows high LYVE1/REG1B/TFF1 patterns consistent with pancreatic pathology; although creatinine is markedly elevated (which can raise CA19-9 nonspecifically), the combined biomarker profile still more strongly supports cancer than benign disease.</t>
  </si>
  <si>
    <t>CA19-9 is low/within normal range (21), which argues against pancreatic cancer. Although creatinine is markedly elevated (can confound some labs), there is no supporting CA19-9 elevation or a strongly cancer-typical biomarker pattern here; REG1A is not high and the other markers are not clearly in a malignant range. Overall profile is more consistent with non-cancer.</t>
  </si>
  <si>
    <t>CA19-9 is extremely elevated (1471), far above typical benign ranges and strongly suggestive of pancreatic malignancy. The accompanying panel shows markedly high REG1B and TFF1, which are often increased in pancreatic cancer and support a malignant process. Low creatinine does not explain CA19-9 elevation, making cancer the most likely cause.</t>
  </si>
  <si>
    <t>CA19-9 is very low (6), which is not suggestive of pancreatic cancer. Patient is young (37) and creatinine is normal. The supportive protein markers (LYVE1, REG1A/REG1B, TFF1) do not show a pattern strongly consistent with malignancy in the absence of an elevated CA19-9, so cancer is unlikely.</t>
  </si>
  <si>
    <t>CA19-9 is very low (2.0), which is strongly inconsistent with pancreatic cancer in most cases. Age is relatively young (44) and there are no supportive abnormal clinical indicators provided. Although REG1B/TFF1/LYVE1 are present, without an elevated CA19-9 or other corroborating signs they are insufficient to indicate likely pancreatic cancer.</t>
  </si>
  <si>
    <t>CA19-9 is within the normal/low range (26), which argues against pancreatic cancer. Although creatinine is markedly elevated (renal dysfunction can confound biomarker levels), there is no corresponding elevation of CA19-9. The additional markers (LYVE1 low, REG1A/REG1B/TFF1 not showing a clearly cancer-indicative pattern here) do not outweigh the low CA19-9 and young age, making cancer unlikely.</t>
  </si>
  <si>
    <t>Plasma CA19-9 is extremely low (1.0), which argues strongly against pancreatic cancer in typical presentations. Although creatinine is markedly elevated (renal dysfunction can confound some labs), the additional protein markers provided (LYVE1/REG1B/TFF1/REG1A) do not outweigh the very low CA19-9 signal for malignancy here. Overall pattern is more consistent with non-cancer/benign conditions than pancreatic cancer.</t>
  </si>
  <si>
    <t>CA19-9 is low/within typical non-cancer range (~18), which argues against pancreatic cancer. Creatinine is normal, reducing concern for false CA19-9 elevation from renal dysfunction. While LYVE1/REG1B/TFF1 are reported, none show a pattern strongly suggestive of malignancy in the setting of a clearly non-elevated CA19-9, so overall cancer likelihood is low.</t>
  </si>
  <si>
    <t>CA19-9 is markedly elevated (641), strongly suggestive of pancreatic malignancy when renal function is normal (creatinine 0.89). The accompanying biomarker pattern with elevated LYVE1/REG1B and very high TFF1 is consistent with pancreatic cancer signatures rather than benign disease.</t>
  </si>
  <si>
    <t>CA19-9 is low/normal (10), which argues strongly against pancreatic cancer. The patient is young (38), further lowering pretest probability. While REG1B/TFF1 and related markers can rise with pancreatic pathology, without an elevated CA19-9 or other strong malignant signal this profile is more consistent with non-malignant/inflammatory variation than pancreatic cancer.</t>
  </si>
  <si>
    <t>CA19-9 is extremely elevated (1475), far above typical benign ranges, strongly suggesting pancreatic malignancy. Supportive biomarker pattern with markedly elevated REG1A/REG1B and high TFF1 is consistent with pancreatic cancer-associated signature; creatinine is low and unlikely to explain CA19-9 elevation.</t>
  </si>
  <si>
    <t>CA19-9 is markedly elevated (328), which is strongly suspicious for pancreatic malignancy in this clinical context. Additional pancreatic cancer–associated markers (notably very high TFF1 and elevated REG1B/REG1A) support a cancer pattern rather than benign disease; creatinine is not severely abnormal to explain CA19-9 elevation via renal clearance issues.</t>
  </si>
  <si>
    <t>CA19-9 is markedly elevated (182), which is strongly suggestive of pancreatic malignancy in an elderly patient. The associated panel shows high REG1B/TFF1 and elevated LYVE1/REG1A, a pattern more consistent with pancreatic cancer-associated biomarker signatures than with normal/benign levels.</t>
  </si>
  <si>
    <t>CA19-9 is low/normal (20), which argues against pancreatic cancer. Although creatinine is markedly elevated (possible renal impairment) and several protein markers are elevated (LYVE1/REG1B/TFF1/REG1A), these can rise with pancreatic inflammation or reduced renal clearance and are not specific enough to outweigh a normal CA19-9 in this context. Overall pattern fits non-malignant disease more than cancer.</t>
  </si>
  <si>
    <t>CA19-9 is low/normal (11), which argues against pancreatic cancer. Creatinine is normal, reducing concern for falsely altered biomarker levels from renal dysfunction. The additional markers (LYVE1, REG1B, TFF1, REG1A) do not show a pattern strongly suggestive of malignancy in the context of a normal CA19-9 and no other high-risk clinical features provided.</t>
  </si>
  <si>
    <t>CA19-9 is low/within normal range (22), which argues against pancreatic cancer. Although REG1B/REG1A and TFF1 appear elevated (markers that can rise with pancreatic inflammation or other benign GI conditions), the absence of CA19-9 elevation makes malignancy less likely overall. No other strong cancer-indicative signals are present in the provided data.</t>
  </si>
  <si>
    <t>CA19-9 is only mildly elevated (62) and can rise in benign biliary/pancreatic inflammation; creatinine is low/normal (no renal retention effect). The additional protein markers (LYVE1/REG1B/TFF1/REG1A) do not show a pattern suggestive of a strong malignant signature, so overall findings fit better with non-cancer than pancreatic cancer.</t>
  </si>
  <si>
    <t>CA19-9 is very low (5.8), which is not supportive of pancreatic cancer. Although creatinine is markedly elevated (could reflect renal dysfunction affecting some labs), the additional markers provided (LYVE1, REG1B, TFF1, REG1A) do not show a pattern strongly suggestive of pancreatic cancer in the absence of an elevated CA19-9. Overall biomarker profile favors no pancreatic cancer.</t>
  </si>
  <si>
    <t>CA19-9 is extremely elevated (1624), far above typical benign ranges and strongly suggestive of pancreatic malignancy in the absence of an obvious alternative explanation. Additional pancreatic-associated markers (REG1B, REG1A, TFF1, LYVE1) are also elevated, supporting a cancer-associated biomarker profile rather than non-malignant disease.</t>
  </si>
  <si>
    <t>CA19-9 is low/within typical non-cancer range (30), which argues against pancreatic cancer. The additional protein markers (LYVE1/REG1B/TFF1/REG1A) do not show a pattern strongly suggestive of malignancy in the absence of CA19-9 elevation, so overall likelihood of pancreatic cancer is low.</t>
  </si>
  <si>
    <t>CA19-9 is extremely elevated (1503), far above typical benign-range elevations, strongly suggesting pancreatic malignancy. Additional cancer-associated protein markers (LYVE1, REG1B, TFF1) are markedly elevated, supporting a pancreatic cancer biomarker profile. Creatinine is normal, reducing the likelihood that CA19-9 is spuriously high from renal impairment.</t>
  </si>
  <si>
    <t>CA19-9 is markedly elevated (147), which is strongly suggestive of pancreatic malignancy in the right clinical context. The additional pancreatic cancer–associated protein markers (LYVE1/REG1A/REG1B/TFF1) are not low and appear supportive rather than reassuring. Creatinine is low/normal, making renal retention less likely as an explanation for the CA19-9 elevation. Overall biomarker pattern favors pancreatic cancer.</t>
  </si>
  <si>
    <t>CA19-9 is markedly elevated (600), which is strongly suggestive of pancreatic malignancy in this evaluation context. The additional pancreatic-associated proteins (REG1B, TFF1, REG1A) are also substantially elevated, supporting a cancer profile rather than a benign process; creatinine is not elevated enough to explain CA19-9 rise via renal impairment. Advanced age further increases pretest probability.</t>
  </si>
  <si>
    <t>CA19-9 is very low (5), which is not suggestive of pancreatic cancer. While creatinine is elevated and some protein markers (LYVE1/REG1B/TFF1) are relatively high, this pattern without an elevated CA19-9 is more consistent with non-malignant/inflammatory or renal-related effects than pancreatic cancer.</t>
  </si>
  <si>
    <t>CA19-9 is very low (3.53), which is not suggestive of pancreatic cancer. Other markers (LYVE1, REG1A/REG1B, TFF1) do not show a pattern strongly indicative of malignancy, and there is no evidence of renal impairment (creatinine low-normal) that could confound CA19-9. Overall biomarker profile fits non-cancer.</t>
  </si>
  <si>
    <t>CA19-9 is low/near-normal (30), which argues against pancreatic cancer. While age is high and creatinine is elevated (can confound biomarker interpretation), the adjunct markers (LYVE1, REG1A/REG1B, TFF1) do not show a clear malignant pattern strong enough to outweigh the normal CA19-9. Overall biomarker profile is more consistent with non-cancer.</t>
  </si>
  <si>
    <t>CA19-9 is extremely elevated (31000), far above levels typically seen in benign conditions, strongly suggesting pancreatic malignancy. Additional pancreatic cancer–associated protein markers (e.g., TFF1, REG1B/REG1A, LYVE1) are markedly elevated, reinforcing a cancer pattern. Creatinine is not elevated enough to explain CA19-9 via renal impairment.</t>
  </si>
  <si>
    <t>CA19-9 is extremely low (0.6), which argues strongly against pancreatic cancer in the absence of other concerning indicators. Kidney function (creatinine ~0.96) is normal, so the low CA19-9 is not explained by impaired clearance. The listed protein markers (LYVE1/REG1A/REG1B/TFF1) do not show a pattern here that would outweigh the very low CA19-9.</t>
  </si>
  <si>
    <t>CA19-9 is markedly elevated (601), which is strongly suggestive of pancreatic malignancy in the appropriate clinical context. The additional pancreatic-associated protein markers (REG1B/REG1A and TFF1) are also substantially elevated, supporting a cancer-associated signature. Creatinine is normal, making renal-related artifact less likely.</t>
  </si>
  <si>
    <t>CA19-9 is extremely elevated (5855), far above typical benign ranges and strongly suggestive of pancreatic malignancy. Additional pancreatic-associated markers (REG1B, REG1A, TFF1) are markedly elevated, supporting a cancer signal. Although creatinine is high (possible renal impairment that can modestly raise CA19-9), the magnitude of CA19-9 and concordant biomarker pattern make pancreatic cancer highly likely.</t>
  </si>
  <si>
    <t>CA19-9 is markedly elevated (271.7), which is strongly suggestive of pancreatic malignancy in the appropriate clinical context. The additional tumor-associated protein markers (LYVE1, REG1B, TFF1, REG1A) are all substantially elevated, reinforcing a cancer pattern rather than benign disease alone. Although creatinine is very high (which can inflate CA19-9), the broad multi-marker elevation makes pancreatic cancer more likely than a false-positive CA19-9 from renal dysfunction alone.</t>
  </si>
  <si>
    <t>CA19-9 is markedly elevated (291), which is strongly suggestive of pancreatic malignancy in the right clinical context. The additional panel markers (LYVE1, REG1B, TFF1) are all elevated compared with typical baseline ranges and collectively support a cancer-associated signature. Although creatinine is high (175) and renal dysfunction can inflate CA19-9, the degree of CA19-9 elevation plus concordant biomarker elevations makes pancreatic cancer more likely than a benign explanation alone.</t>
  </si>
  <si>
    <t>CA19-9 is markedly elevated (167.5; above the common 37 U/mL cutoff), which in an elderly patient increases suspicion for pancreatic malignancy. Creatinine is normal, reducing likelihood of a false CA19-9 elevation from renal impairment. The accompanying pancreatic-associated protein markers (REG1B/REG1A, TFF1, LYVE1) are also elevated, supporting a cancer-associated biomarker pattern rather than a benign state.</t>
  </si>
  <si>
    <t>CA19-9 is very low (6.9), which is not suggestive of pancreatic cancer. Although creatinine is markedly elevated (possible renal impairment) and some protein markers (LYVE1/REG1B/TFF1/REG1A) are elevated, this pattern is more consistent with non-malignant/inflammatory or renal-related biomarker shifts rather than a CA19-9–supported pancreatic cancer signal.</t>
  </si>
  <si>
    <t>CA19-9 is clearly elevated (~115; above typical normal &lt;37), which raises suspicion for pancreatic malignancy. REG1B and TFF1 are also elevated patterns seen with pancreatic cancer signatures. Although creatinine is high (can confound CA19-9 via reduced clearance) and age is relatively young, the combined biomarker profile is more consistent with cancer than benign disease.</t>
  </si>
  <si>
    <t>CA19-9 is markedly elevated (422), which strongly favors pancreatic malignancy in this evaluation context. Age (68) increases baseline risk, and the accompanying biomarker profile (very high TFF1 with elevated REG1B/LYVE1) is consistent with a pancreatic cancer-associated signature rather than a low-risk/normal pattern.</t>
  </si>
  <si>
    <t>CA19-9 is low/near-normal (30), which does not support pancreatic cancer. Other markers are not strongly suggestive: LYVE1 is very low, REG1B is only mildly elevated, and REG1A is 0. Overall biomarker pattern lacks the typical elevation profile seen in pancreatic cancer.</t>
  </si>
  <si>
    <t>CA19-9 is extremely elevated (11740), far above levels typically seen in benign conditions; age is in a high-risk range, creatinine is normal (less risk of false elevation), and the panel markers (LYVE1, REG1B, TFF1, REG1A) are collectively elevated in a pattern consistent with pancreatic malignancy.</t>
  </si>
  <si>
    <t>CA19-9 is very low (6.71), which argues strongly against pancreatic cancer in this context. The other markers (LYVE1 very low; REG1A modest; REG1B/TFF1 elevated but can be increased in benign pancreatic/inflammatory conditions) do not outweigh the strongly non-malignant CA19-9 signal.</t>
  </si>
  <si>
    <t>CA19-9 is extremely elevated (1621), far above typical benign ranges and strongly suggestive of pancreatic malignancy in this evaluation context. Although creatinine is markedly high (renal dysfunction can inflate CA19-9), the magnitude of elevation plus markedly abnormal associated protein biomarkers (very high TFF1/REG1B and elevated REG1A/LYVE1) supports pancreatic cancer being likely.</t>
  </si>
  <si>
    <t>CA19-9 is markedly elevated (538), which strongly supports pancreatic malignancy in the appropriate clinical context. The accompanying biomarker pattern (elevated LYVE1, REG1B, and very high TFF1) is consistent with pancreatic cancer–associated signatures rather than a benign state, and creatinine is normal (less likely that renal impairment is inflating markers).</t>
  </si>
  <si>
    <t>CA19-9 is very low (6.9), which argues strongly against pancreatic cancer. Creatinine is normal, reducing concern for biomarker distortion from renal dysfunction. The additional markers (LYVE1, REG1B, TFF1, REG1A) do not show a pattern strongly suggestive of malignancy in the absence of CA19-9 elevation, so overall cancer is unlikely.</t>
  </si>
  <si>
    <t>CA19-9 is within the typical normal range (&lt;37), which lowers likelihood of pancreatic cancer. Creatinine is normal, reducing concern for renal-related marker distortion. Although LYVE1/REG1B/TFF1 appear elevated, the combination without an elevated CA19-9 is more consistent with benign pancreatic/inflammatory changes than malignancy.</t>
  </si>
  <si>
    <t>CA19-9 is markedly elevated (468), which is strongly associated with pancreatic malignancy. The panel markers (very high REG1B and elevated TFF1/REG1A) further support a cancer-like signature rather than normal. Although the patient is young and creatinine is very high (renal dysfunction can inflate CA19-9), the overall biomarker pattern remains more consistent with pancreatic cancer than benign disease.</t>
  </si>
  <si>
    <t>CA19-9 is only mildly elevated (66) and can rise with benign biliary/inflammatory conditions; creatinine is normal, reducing concern for renal-related marker distortion. The protein markers (LYVE1/REG1A/REG1B/TFF1) do not show a pattern strongly suggestive of pancreatic cancer in this record, so overall findings are more consistent with non-malignant causes than active pancreatic cancer.</t>
  </si>
  <si>
    <t>CA19-9 is only mildly elevated (50) and can rise with benign biliary/pancreatic inflammation; age is relatively young for pancreatic cancer. Creatinine is normal, and the provided protein markers do not show a pattern strongly suggestive of malignancy. Overall profile favors non-cancer over cancer.</t>
  </si>
  <si>
    <t>CA19-9 is low/within typical non-cancer range (~22), which argues against pancreatic cancer. Kidney function (creatinine ~0.89) is normal so CA19-9 is not falsely lowered/altered by renal issues. Although LYVE1/REG1B/TFF1 are present, the overall profile is not strongly suggestive of malignancy without an elevated CA19-9 or other high-risk clinical features.</t>
  </si>
  <si>
    <t>CA19-9 is extremely elevated (1098), far above typical benign-range elevations, strongly supporting pancreatic malignancy in this age group. The additional pancreatic-associated protein markers (e.g., REG1B/REG1A and TFF1) are also markedly elevated, reinforcing a cancer pattern rather than isolated non-malignant biliary obstruction. Creatinine is only mildly elevated and does not explain the magnitude of CA19-9.</t>
  </si>
  <si>
    <t>CA19-9 is only mildly elevated (43) and can rise from benign biliary/inflammatory conditions, especially in older adults. The additional protein markers (LYVE1, REG1A/REG1B, TFF1) do not show a pattern strongly suggestive of pancreatic cancer in this record, and there are no markedly extreme tumor-marker elevations to support malignancy.</t>
  </si>
  <si>
    <t>CA19-9 is low/within normal range (16.2), which argues against pancreatic cancer. While age is high and some protein markers (e.g., TFF1/REG1B) appear elevated, the markedly high creatinine suggests renal dysfunction that can alter biomarker levels and reduce specificity. Overall pattern favors non-cancer over cancer.</t>
  </si>
  <si>
    <t>CA19-9 is markedly elevated (155; above common clinical cutoffs ~37 and near/above levels often concerning for malignancy). In addition, the pancreatic cancer–associated protein panel shows strong elevations (notably REG1B and TFF1, with elevated LYVE1 and REG1A), a pattern more consistent with pancreatic cancer than benign disease. Creatinine is normal, making renal impairment less likely to explain biomarker elevation.</t>
  </si>
  <si>
    <t>CA19-9 is low/within normal range (12.84), which argues strongly against pancreatic cancer. At age 40 the baseline risk is lower, and there is no markedly elevated CA19-9 signal; the other markers (LYVE1/REG1B/TFF1/REG1A) do not show a pattern here that would outweigh a normal CA19-9. Overall profile is more consistent with no pancreatic cancer.</t>
  </si>
  <si>
    <t>CA19-9 is markedly elevated (523), which is strongly suggestive of pancreatic malignancy in the appropriate clinical context. The additional protein markers (notably very high REG1B and elevated TFF1/REG1A) are consistent with pancreatic pathology patterns seen in cancer panels. Although creatinine is high (possible renal dysfunction that can confound biomarkers), the degree of CA19-9 elevation plus the accompanying marker profile makes pancreatic cancer more likely than benign causes.</t>
  </si>
  <si>
    <t>CA19-9 is extremely elevated (1318), far above typical benign ranges and strongly suggestive of pancreatic malignancy. Additional pancreatic-associated markers (REG1A 238, REG1B 38.5, very high TFF1) are also markedly elevated, supporting a cancer profile. Although creatinine is high and can contribute to CA19-9 elevation, the magnitude and multi-marker elevation make pancreatic cancer likely.</t>
  </si>
  <si>
    <t>CA19-9 is markedly elevated (309 U/mL), a strong indicator for pancreatic malignancy in the appropriate clinical context. The accompanying biomarker profile (notably very high TFF1 with elevated REG1B/REG1A) is consistent with a pancreatic cancer-associated signature rather than normal variation. Creatinine is low/normal, making renal impairment less likely as an explanation for CA19-9 elevation.</t>
  </si>
  <si>
    <t>CA19-9 is elevated (72, above typical normal cutoff ~37), which supports pancreatic malignancy in the right clinical context. Age 72 increases baseline risk. Several adjunct biomarkers (LYVE1, REG1B/REG1A, TFF1) are not markedly extreme but do not counterbalance the elevated CA19-9. Creatinine is not high enough to strongly suggest CA19-9 elevation is purely from renal impairment. Overall pattern is more consistent with pancreatic cancer than a clearly benign profile.</t>
  </si>
  <si>
    <t>CA19-9 is markedly elevated (158), which is strongly suspicious for pancreatic malignancy. The accompanying elevated pancreatic-associated markers (notably very high TFF1 and increased LYVE1/REG1B/REG1A) support a cancer signature rather than a benign process. Although creatinine is elevated and can contribute to nonspecific CA19-9 elevation, the overall multi-marker pattern remains more consistent with pancreatic cancer.</t>
  </si>
  <si>
    <t>CA19-9 is markedly elevated (147.7; above typical benign-range thresholds), and the panel markers (notably very high TFF1 along with elevated REG1B/REG1A and LYVE1) show a profile more consistent with pancreatic malignancy than non-cancer. Low creatinine is not suggestive of an alternative explanation for the CA19-9 elevation.</t>
  </si>
  <si>
    <t>CA19-9 is markedly elevated (216), which is strongly suggestive of pancreatic malignancy in the appropriate clinical context. Creatinine is mildly elevated but not enough to fully explain this degree of CA19-9 rise. The accompanying pancreatic biomarker profile (REG1A/REG1B and TFF1 reported at high levels) is more consistent with pancreatic pathology, supporting a cancer-positive classification.</t>
  </si>
  <si>
    <t>CA19-9 is extremely elevated (1916), far above typical benign ranges and strongly suggestive of pancreatic malignancy, especially in an older patient. Additional tumor-associated markers (LYVE1, REG1B, TFF1) are markedly high, supporting a cancer signature. Mildly elevated creatinine could influence CA19-9 somewhat, but not to this magnitude.</t>
  </si>
  <si>
    <t>CA19-9 is markedly elevated (655), a level strongly suggestive of pancreatic malignancy in the appropriate context. The accompanying panel shows very high LYVE1, REG1B, and especially TFF1, which are associated with pancreatic cancer signatures. Low creatinine does not explain the CA19-9 elevation, making pancreatic cancer highly likely.</t>
  </si>
  <si>
    <t>CA19-9 is markedly elevated (537), which is strongly suggestive of pancreatic malignancy in this evaluation context. Supporting biomarker pattern shows substantially elevated REG1B and elevated TFF1/REG1A with LYVE1 also raised, consistent with a pancreatic cancer-associated signature. Creatinine is normal, making renal-related CA19-9 elevation less likely.</t>
  </si>
  <si>
    <t>CA19-9 is markedly elevated (190.7), which is strongly suggestive of pancreatic malignancy in the appropriate clinical context. The associated protein biomarkers (notably very high TFF1 with elevated REG1B/LYVE1) align with a pancreatic cancer biomarker pattern rather than normal findings. Mildly elevated creatinine is unlikely to explain this degree of CA19-9 elevation.</t>
  </si>
  <si>
    <t>CA19-9 is moderately elevated (120), which supports pancreatic malignancy risk in an elderly patient. The panel markers (notably high REG1B and TFF1 with elevated LYVE1) are more consistent with a pancreatic cancer biomarker pattern than a benign profile. Although creatinine is markedly elevated (renal dysfunction can inflate CA19-9), the multi-marker elevation makes cancer more likely overall.</t>
  </si>
  <si>
    <t>CA19-9 is low/within normal range (21), which argues against pancreatic cancer. Although creatinine is markedly elevated (can alter biomarker handling and reflect non-cancer illness), there is no strong tumor-marker signal here; the other proteins are not in a pattern strongly suggestive of pancreatic cancer without an elevated CA19-9.</t>
  </si>
  <si>
    <t>CA19-9 is extremely elevated (1471), far above typical benign ranges and strongly suggestive of pancreatic malignancy in the appropriate clinical context. The accompanying pancreatic protein markers (LYVE1/REG1B/TFF1) are also markedly abnormal and consistent with a cancer-associated biomarker pattern rather than isolated benign disease.</t>
  </si>
  <si>
    <t>CA19-9 is very low (6), which is not suggestive of pancreatic cancer. Other markers provided (LYVE1, REG1B, TFF1, REG1A) do not show a clearly malignant pattern, and the patient is young (37) with normal creatinine, further lowering likelihood.</t>
  </si>
  <si>
    <t>CA19-9 is extremely low (2.0), which is not suggestive of pancreatic cancer. Age is relatively young for typical pancreatic cancer presentation. The other markers (LYVE1, REG1B, TFF1, REG1A) do not show a clear malignant pattern sufficient to outweigh a very low CA19-9.</t>
  </si>
  <si>
    <t>CA19-9 is low/within normal range (26), which argues against pancreatic cancer. While creatinine is markedly elevated (could reflect renal dysfunction that can confound labs), the cancer-associated protein pattern is not strongly suggestive here: LYVE1 is very low and the REG/TFF markers are not in a clearly malignant range for pancreatic cancer. Overall profile is more consistent with no pancreatic cancer.</t>
  </si>
  <si>
    <t>CA19-9 is extremely low (1.0), which argues strongly against pancreatic cancer. Although creatinine is markedly elevated (renal dysfunction) and REG1A/REG1B/TFF1 are elevated, these markers can be increased with pancreatitis, inflammation, or impaired clearance and are not specific enough to outweigh the very low CA19-9.</t>
  </si>
  <si>
    <t>CA19-9 is low/within normal range (18.23, not suggestive of pancreatic cancer). Creatinine is normal, reducing concern for renal-driven marker elevation. The other proteins (LYVE1, REG1B, TFF1, REG1A) do not show a pattern here that would outweigh a clearly non-elevated CA19-9, so overall cancer is unlikely.</t>
  </si>
  <si>
    <t>CA19-9 is markedly elevated (641), far above typical benign-range values and strongly associated with pancreatic malignancy when renal function is normal (creatinine ~0.89). The accompanying protein biomarker profile (notably very high TFF1 with elevated LYVE1/REG1B) is also more consistent with pancreatic cancer than non-malignant pancreatic disease.</t>
  </si>
  <si>
    <t>CA19-9 is very low/normal (10), which argues strongly against pancreatic cancer. The patient is young (38), lowering baseline risk. While REG1B/TFF1/LYVE1 show some elevation, this pattern can occur with benign pancreatic/inflammatory conditions and is not convincing for cancer in the setting of normal CA19-9; mildly elevated creatinine does not explain a low CA19-9 or indicate malignancy.</t>
  </si>
  <si>
    <t>CA19-9 is extremely elevated (1475), far above typical benign ranges and strongly suggestive of pancreatic malignancy in this clinical context. Age 68 increases baseline risk. Supporting biomarkers (notably very high TFF1 and elevated REG family markers) are consistent with pancreatic cancer–associated signatures, and low creatinine does not explain the CA19-9 elevation.</t>
  </si>
  <si>
    <t>CA19-9 is markedly elevated (328), well above typical benign-range values, and the adjunct pancreatic cancer–associated biomarkers (LYVE1, REG1B, TFF1) are also strongly elevated, a pattern more consistent with pancreatic malignancy than non-cancer conditions; creatinine is not high enough to explain the magnitude of marker elevation.</t>
  </si>
  <si>
    <t>CA19-9 is markedly elevated (182, well above typical normal &lt;37), which strongly supports pancreatic malignancy in an elderly patient. The accompanying pancreatic cancer–associated protein markers (elevated REG1B/REG1A and TFF1 patterns consistent with pancreatic pathology) further increase likelihood; low creatinine is not explanatory for CA19-9 elevation. Overall biomarker profile is most consistent with pancreatic cancer.</t>
  </si>
  <si>
    <t>CA19-9 is low/normal (20), which argues against pancreatic cancer. While creatinine is markedly elevated (renal dysfunction can affect biomarker handling) and some protein markers are elevated, the absence of CA19-9 elevation and younger age make cancer less likely overall.</t>
  </si>
  <si>
    <t>CA19-9 is low/within normal range (11), which argues against pancreatic cancer. Creatinine is normal, reducing concern for biomarker distortion from renal dysfunction. The panel markers (LYVE1, REG1B, TFF1, REG1A) do not show a pattern strongly suggestive of malignancy in the absence of an elevated CA19-9; overall profile is more consistent with no pancreatic cancer.</t>
  </si>
  <si>
    <t>CA19-9 is low/within typical non-cancer range (22), which argues against pancreatic cancer. While REG1A/REG1B and LYVE1 are elevated, these markers can rise with benign pancreatic/inflammatory conditions and are not sufficiently specific without a CA19-9 increase. Overall biomarker pattern is more consistent with non-malignant disease than pancreatic cancer.</t>
  </si>
  <si>
    <t>CA19-9 is only mildly elevated (62) and can rise with benign biliary/pancreatic inflammation; creatinine is low/normal (unlikely false elevation from renal failure). The complementary protein markers (LYVE1, REG1B, TFF1, REG1A) are not showing a strongly high-risk pattern typical of pancreatic cancer, so overall profile favors no cancer.</t>
  </si>
  <si>
    <t>CA19-9 is very low (5.8), which is not supportive of pancreatic cancer. The other biomarkers (LYVE1/REG1B/TFF1/REG1A) do not show a pattern strongly suggestive of malignancy in the absence of CA19-9 elevation. Although creatinine is markedly elevated (significant renal dysfunction), this would more commonly raise CA19-9 via reduced clearance rather than keep it low, further arguing against pancreatic cancer.</t>
  </si>
  <si>
    <t>CA19-9 is extremely elevated (1624), a level strongly associated with pancreatic malignancy rather than benign disease. Supporting biomarker pattern shows markedly high TFF1 and elevated REG1B/LYVE1, which aligns with pancreatic cancer signatures. Creatinine is not elevated enough to explain CA19-9 elevation from renal impairment.</t>
  </si>
  <si>
    <t>CA19-9 is low/normal (30) and does not suggest pancreatic cancer. The accompanying biomarker pattern does not show a clear malignant signature despite some elevated pancreatic-associated proteins (e.g., REG1B/TFF1 can rise with benign pancreatic inflammation). Overall profile is more consistent with non-cancer.</t>
  </si>
  <si>
    <t>CA19-9 is extremely elevated (1503), far above typical benign ranges and strongly suggestive of pancreatic malignancy in an elderly patient. Creatinine is normal, reducing the likelihood of false CA19-9 elevation from renal impairment; accompanying biomarker elevations (e.g., REG1B/REG1A, TFF1) further support a cancer-associated profile.</t>
  </si>
  <si>
    <t>CA19-9 is markedly elevated at 147 (above typical clinical cutoff ~37), which increases suspicion for pancreatic cancer in this age group. Creatinine is low/normal, making renal retention an unlikely explanation for the CA19-9 elevation. The additional pancreatic biomarker panel shows substantially elevated TFF1 with elevated REG1A/REG1B and LYVE1, a pattern more consistent with malignant pancreatic disease than with a low-risk profile.</t>
  </si>
  <si>
    <t>CA19-9 is markedly elevated (600), strongly suggestive of pancreatic malignancy in this clinical-evaluation context. The supporting biomarker pattern (high REG1B/TFF1/REG1A with LYVE1 present) is consistent with a pancreatic cancer signature rather than a low-risk profile.</t>
  </si>
  <si>
    <t>CA19-9 is very low (5), which argues strongly against pancreatic cancer. Although creatinine is elevated (could affect physiology), the main cancer-associated signal (marked CA19-9 elevation) is absent and the other markers provided are not in a clearly malignant pattern here.</t>
  </si>
  <si>
    <t>CA19-9 is very low (3.53), which argues strongly against pancreatic cancer. Kidney function (creatinine 0.58) is normal, reducing risk of falsely elevated markers. Other biomarkers (LYVE1, REG1A/REG1B, TFF1) do not show a pattern suggestive of malignancy in the absence of CA19-9 elevation; overall profile is more consistent with no pancreatic cancer.</t>
  </si>
  <si>
    <t>CA19-9 is low/near-normal (30), which argues against pancreatic cancer. Although age is high and creatinine is elevated (which can confound some labs), the overall biomarker pattern does not show the typical strong CA19-9 elevation expected in many pancreatic cancers; other markers provided are not clearly in a malignant range without accompanying CA19-9 rise.</t>
  </si>
  <si>
    <t>CA19-9 is extremely elevated (31000), far above levels typically seen in benign conditions, strongly suggesting pancreatic malignancy. Additional tumor-associated markers (e.g., TFF1, REG1B/REG1A, LYVE1) are also markedly elevated, and there is no indication of renal impairment (low creatinine) that would explain such biomarker elevation.</t>
  </si>
  <si>
    <t>CA19-9 is extremely low (0.6), which is strongly inconsistent with pancreatic cancer in the absence of other major abnormal signals. The additional protein biomarkers (LYVE1, REG1A/REG1B, TFF1) do not show a pattern suggestive of malignancy here, and creatinine is normal, reducing concern for confounding renal elevation of markers.</t>
  </si>
  <si>
    <t>CA19-9 is markedly elevated (601), which is strongly suspicious for pancreatic malignancy in an appropriate clinical context. The accompanying biomarker profile (notably very high TFF1 and elevated REG family markers/LYVE1) is consistent with a pancreatic cancer-associated signature rather than normal findings, and creatinine is normal so the CA19-9 rise is less likely to be from renal impairment.</t>
  </si>
  <si>
    <t>CA19-9 is extremely elevated (5855), far above typical benign ranges and strongly suggestive of pancreatic malignancy. Additional pancreatic cancer–associated proteins (REG1B, TFF1, REG1A) are markedly elevated, supporting a cancer profile. Although creatinine is high (possible renal impairment can raise CA19-9), the magnitude of CA19-9 and concordant elevations in multiple tumor-associated markers make pancreatic cancer very likely.</t>
  </si>
  <si>
    <t>CA19-9 is markedly elevated (271.7, well above typical non-cancer ranges) which strongly raises suspicion for pancreatic malignancy. The additional protein markers (LYVE1, REG1B, TFF1) are all high, consistent with a pancreatic cancer-associated biomarker pattern. Although creatinine is very elevated (possible renal dysfunction that can confound tumor markers), the combination and magnitude of abnormalities still favors pancreatic cancer.</t>
  </si>
  <si>
    <t>CA19-9 is markedly elevated (291), which is strongly suspicious for pancreatic malignancy in the appropriate clinical context. The additional protein biomarkers (LYVE1, REG1B, TFF1) are also elevated in a pattern commonly associated with pancreatic cancer panels. Although creatinine is high (renal dysfunction can inflate CA19-9), the degree of CA19-9 elevation plus corroborating biomarker elevations still favor cancer.</t>
  </si>
  <si>
    <t>CA19-9 is markedly elevated (167.5; commonly &gt;37 is abnormal and &gt;100 increases suspicion for pancreatic malignancy). In an 80-year-old, this level combined with a biomarker pattern suggestive of pancreatic pathology (elevated REG1B/REG1A and very high TFF1) supports pancreatic cancer being likely. Creatinine is normal, making renal-related marker distortion less likely.</t>
  </si>
  <si>
    <t>CA19-9 is very low (6.9), which argues strongly against pancreatic cancer in most cases. While creatinine is markedly elevated (renal dysfunction), which can confound some lab values, the key cancer-associated signal (CA19-9) is not elevated. The additional markers (LYVE1/REG1B/TFF1/REG1A) are not showing a pattern here that outweighs the strongly negative CA19-9, making pancreatic cancer unlikely.</t>
  </si>
  <si>
    <t>CA19-9 is elevated (114.8; above typical ~37 cutoff), which supports pancreatic malignancy in the right clinical context. The panel markers (LYVE1/REG1B/TFF1) are also markedly high, consistent with a cancer-associated biomarker pattern rather than normal variation. While creatinine is elevated (140) and can confound some labs, it does not adequately explain the combination of elevated CA19-9 with strongly abnormal cancer-panel proteins.</t>
  </si>
  <si>
    <t>CA19-9 is markedly elevated (422), which is strongly associated with pancreatic adenocarcinoma in this clinical context. Supporting protein biomarkers (LYVE1, REG1B, TFF1) are also elevated in patterns seen with pancreatic malignancy/pancreatic ductal disease. No alternative explanation is evident from the provided data.</t>
  </si>
  <si>
    <t>CA19-9 is low/near-normal (30), which argues against pancreatic cancer. Other markers do not show a strongly malignant pattern: LYVE1 is very low, REG1B is only mildly elevated, and REG1A is absent; these findings are more consistent with non-cancer/inflammatory variation than pancreatic cancer. Overall biomarker profile does not support cancer.</t>
  </si>
  <si>
    <t>CA19-9 is extremely elevated (11740), far above levels typically seen in benign pancreatic/biliary conditions and strongly suggestive of pancreatic malignancy. Age (66) increases baseline risk, and the accompanying abnormal protein biomarker profile (elevated LYVE1/REG1B/TFF1/REG1A pattern) is consistent with pancreatic cancer signatures. Normal creatinine reduces concern that renal impairment is falsely inflating markers.</t>
  </si>
  <si>
    <t>CA19-9 is very low (6.71), which is not suggestive of pancreatic cancer. Additional biomarkers (LYVE1, REG1A/B, TFF1) do not show a pattern of markedly elevated tumor-associated signal that would outweigh the normal CA19-9. Overall profile is more consistent with no pancreatic cancer.</t>
  </si>
  <si>
    <t>CA19-9 is extremely elevated (1621), a level strongly suggestive of pancreatic malignancy in the appropriate clinical context. Although creatinine is markedly high and can contribute to CA19-9 elevation, the magnitude remains highly concerning. The accompanying biomarker pattern (notably very high TFF1 with elevated REG family markers/LYVE1) is consistent with a pancreatic cancer-associated signature rather than benign disease alone.</t>
  </si>
  <si>
    <t>CA19-9 is markedly elevated (538), far above typical benign ranges and strongly suggestive of pancreatic malignancy, especially in an older patient. The accompanying proteomic markers (notably very high TFF1 and elevated REG1B/REG1A/LYVE1 patterns) are consistent with a pancreatic cancer biomarker signature rather than isolated non-malignant variation. Normal creatinine reduces the likelihood that CA19-9 is falsely elevated due to renal impairment.</t>
  </si>
  <si>
    <t>CA19-9 is very low (6.9) and not suggestive of pancreatic cancer. Creatinine is normal, reducing concern for renal-related CA19-9 distortion. The additional markers (LYVE1, REG1B, TFF1) do not show a clear high-risk pattern here, and REG1A is not markedly elevated. Overall biomarker profile favors no pancreatic cancer.</t>
  </si>
  <si>
    <t>CA19-9 is within the normal/low range (~31), which argues against pancreatic cancer in the absence of a clear elevation. Creatinine is normal, reducing concern for falsely altered marker handling. While some pancreatic-associated proteins (e.g., REG1B/TFF1/LYVE1) are present, the overall pattern lacks a strong malignant signal compared with typical cancer cases where CA19-9 and multiple markers are markedly elevated.</t>
  </si>
  <si>
    <t>CA19-9 is markedly elevated (468.3), which is strongly suspicious for pancreatic malignancy. The pancreatic-associated markers REG1B and TFF1 are also very high, supporting a cancer signal rather than benign variation. Although creatinine is severely elevated (possible renal dysfunction can inflate CA19-9), the concurrent strong elevation of multiple pancreatic biomarkers makes pancreatic cancer more likely than not.</t>
  </si>
  <si>
    <t>CA19-9 is elevated (66, above typical normal ~&lt;37), supporting pancreatic malignancy risk. In addition, pancreatic cancer–associated protein markers show markedly high levels (notably very high TFF1 with elevated REG1B/REG1A and LYVE1), a pattern more consistent with pancreatic cancer than benign conditions. Creatinine is normal, making renal-related marker elevation less likely.</t>
  </si>
  <si>
    <t>CA19-9 is only mildly elevated (50) and can rise with benign pancreatic/biliary inflammation; creatinine is normal (reducing false CA19-9 elevation concerns). The protein markers shown (LYVE1/TFF1/REG1B) are not markedly high in a pattern strongly suggestive of pancreatic cancer, and age 48 is below the typical peak incidence. Overall biomarker profile is more consistent with non-malignant disease than pancreatic cancer.</t>
  </si>
  <si>
    <t>CA19-9 is low/within normal range (22), which argues against pancreatic cancer. Creatinine is normal, reducing concern for CA19-9 distortion from renal impairment. The other markers (LYVE1, REG1B, TFF1, REG1A) do not show a clear malignant pattern in the absence of an elevated CA19-9, so overall cancer is unlikely.</t>
  </si>
  <si>
    <t>CA19-9 is extremely elevated (1098), far above typical benign ranges and strongly suggestive of pancreatic malignancy. The additional pancreatic-associated markers (REG1B/REG1A, TFF1, LYVE1) are also markedly elevated, creating a biomarker pattern consistent with pancreatic cancer rather than isolated non-malignant causes.</t>
  </si>
  <si>
    <t>CA19-9 is only mildly elevated (43) and can be increased from benign biliary/inflammatory conditions; the other markers (LYVE1, REG1B, TFF1, REG1A) do not show a pattern of strong malignant elevation relative to CA19-9, and there are no additional clinical features provided suggesting pancreatic cancer. Overall profile fits better with non-malignant/indeterminate changes than active pancreatic cancer.</t>
  </si>
  <si>
    <t>CA19-9 is low/normal (16.2), which argues against pancreatic cancer. Although REG1B and TFF1 are elevated, the markedly high creatinine (193) suggests significant renal impairment that can distort circulating protein biomarker levels and increase false positives. Overall pattern (normal CA19-9 with confounding renal dysfunction) is more consistent with non-cancer.</t>
  </si>
  <si>
    <t>CA19-9 is markedly elevated (155; above typical benign ranges), and the panel shows strong elevations in REG1B and TFF1 with high LYVE1, a biomarker pattern more consistent with pancreatic malignancy than non-cancer conditions. Normal creatinine reduces concern that CA19-9 is falsely elevated from renal impairment.</t>
  </si>
  <si>
    <t>CA19-9 is low/within typical non-cancer range (~12.8), and the additional biomarkers (LYVE1, REG1B, TFF1, REG1A) do not show a pattern suggestive of pancreatic cancer in the absence of CA19-9 elevation. Young age (40) also lowers pre-test probability.</t>
  </si>
  <si>
    <t>CA19-9 is markedly elevated (523), which is strongly suggestive of pancreatic malignancy in the appropriate context. Complementary cancer-associated proteins (notably high REG1B and elevated TFF1) further support a cancer pattern. Although creatinine is very high (231.855) and renal dysfunction can inflate CA19-9, the degree of elevation plus the accompanying biomarker profile makes pancreatic cancer more likely than benign causes.</t>
  </si>
  <si>
    <t>CA19-9 is extremely elevated (1318), far above typical benign ranges and strongly suggestive of pancreatic malignancy in this evaluation setting. Supporting biomarker pattern shows markedly high TFF1 and elevated REG1A/REG1B, which are associated with pancreatic tumor/injury signatures. Age (68) increases baseline risk; creatinine is high but would not usually account for a CA19-9 this extreme on its own.</t>
  </si>
  <si>
    <t>CA19-9 is markedly elevated (309), which is strongly suggestive of pancreatic malignancy in the appropriate context. Additional pancreatic cancer–associated protein markers (LYVE1, REG1B, TFF1) are also substantially elevated, supporting a cancer pattern rather than a benign process. Normal creatinine reduces concern that marker elevation is due to renal impairment.</t>
  </si>
  <si>
    <t>CA19-9 is elevated (72; above typical normal cutoff ~37), and age 72 increases baseline risk. The accompanying protein markers (LYVE1, REG1B, TFF1, REG1A) are not low and are consistent with a pattern seen in pancreatic pathology rather than a clearly benign profile. Creatinine is only mildly elevated, so the CA19-9 rise is less likely to be solely from renal impairment. Overall this constellation is more suggestive of pancreatic cancer than no cancer.</t>
  </si>
  <si>
    <t>CA19-9 is markedly elevated (158; commonly &gt;37 is abnormal), which is suggestive of pancreatic malignancy. Although creatinine is high (may reduce CA19-9 specificity via impaired clearance), the concurrent elevation of multiple pancreatic-cancer–associated proteins (LYVE1, REG1B/REG1A, and especially very high TFF1) supports a cancer-associated biomarker pattern rather than isolated renal-related CA19-9 elevation.</t>
  </si>
  <si>
    <t>CA19-9 is clearly elevated (147.7; above typical ~37 cutoff), which raises suspicion for pancreatic malignancy. The accompanying biomarker pattern shows very high TFF1 with elevated REG1B/REG1A, which is more consistent with pancreatic neoplastic/inflammatory pathology than normal baseline. With no contradictory clinical markers provided, overall likelihood favors pancreatic cancer.</t>
  </si>
  <si>
    <t>CA19-9 is markedly elevated (216), which is strongly suggestive of pancreatic malignancy in the appropriate clinical context. The additional pancreatic-associated proteins (REG1B/REG1A, TFF1, LYVE1) appear elevated/abnormal, supporting a cancer signature rather than a benign process. Mildly increased creatinine could affect clearance but is unlikely to explain this degree of CA19-9 elevation alone.</t>
  </si>
  <si>
    <t>CA19-9 is extremely elevated (1916), far above typical benign ranges and strongly suggestive of pancreatic malignancy; age 73 increases baseline risk. The additional pancreatic-associated protein markers (e.g., REG1B, TFF1) are markedly elevated, further supporting a cancer signal. Mildly elevated creatinine is unlikely to explain a CA19-9 level this high.</t>
  </si>
  <si>
    <t>CA19-9 is markedly elevated (655), which is strongly associated with pancreatic malignancy in the appropriate context. Age (72) increases baseline risk, and the accompanying panel (very high LYVE1/REG1B/TFF1 with elevated REG1A) is consistent with a cancer-like biomarker signature rather than benign disease. Creatinine is low and does not explain a false CA19-9 elevation from renal impairment.</t>
  </si>
  <si>
    <t>CA19-9 is markedly elevated (537), strongly suggestive of pancreatic malignancy in the appropriate clinical context. Additional pancreatic-associated markers (REG1B/REG1A and TFF1) are also high, supporting a cancer-associated biomarker pattern; creatinine is normal so extreme CA19-9 elevation is less likely from renal impairment.</t>
  </si>
  <si>
    <t>CA19-9 is markedly elevated (190.7), which strongly raises suspicion for pancreatic malignancy, especially when accompanied by very high TFF1 and elevated REG1B/REG1A consistent with a pancreatic tumor-associated biomarker pattern. Creatinine is only mildly elevated and does not fully explain the degree of CA19-9 elevation.</t>
  </si>
  <si>
    <t>CA19-9 is markedly elevated (120), which is suspicious for pancreatic malignancy in this clinical context. The proteomic markers (LYVE1, REG1B, TFF1) are also elevated in a pattern often associated with pancreatic cancer panels. Although creatinine is high (possible renal impairment that can inflate CA19-9), the combined multi-marker elevation supports cancer being likely.</t>
  </si>
  <si>
    <t>CA19-9 is low/within typical non-cancer range (21), which argues against pancreatic cancer. Although creatinine is markedly elevated (renal dysfunction can alter biomarker clearance) and some protein markers (LYVE1/REG1B/TFF1/REG1A) are not clearly interpretable without reference ranges, the absence of an elevated CA19-9 and relatively young age (47) make pancreatic cancer less likely overall.</t>
  </si>
  <si>
    <t>CA19-9 is extremely elevated (1471), far above typical benign ranges and strongly suggestive of pancreatic malignancy in the appropriate clinical context. Supporting biomarker pattern (elevated REG1B/TFF1 and related pancreatic injury/cancer-associated proteins) further increases likelihood. Creatinine is not elevated, making renal-related false elevation of CA19-9 less likely.</t>
  </si>
  <si>
    <t>CA19-9 is very low (6), which argues strongly against pancreatic cancer, especially in a young patient (37). The additional biomarkers (LYVE1, REG1A/REG1B, TFF1) do not show a pattern suggestive of malignancy, and creatinine is normal, reducing concern for confounding elevation.</t>
  </si>
  <si>
    <t>CA19-9 is very low (2.0), which is strongly inconsistent with pancreatic cancer in the absence of other alarming signals. Age is relatively young (44). While REG1A/REG1B and other protein markers show some elevation, the overall biomarker pattern with a normal/low CA19-9 and no indication of renal confounding from creatinine does not support likely pancreatic cancer.</t>
  </si>
  <si>
    <t>CA19-9 is within/near normal range (26), which argues against pancreatic cancer. While creatinine is markedly elevated (possible renal dysfunction that can confound some labs), the cancer-associated panel does not show a strong malignant pattern: LYVE1 is very low and TFF1 is not markedly elevated. Overall biomarker profile is more consistent with non-cancer/benign or inflammatory conditions than pancreatic cancer.</t>
  </si>
  <si>
    <t>CA19-9 is extremely low (1.0), which argues strongly against pancreatic cancer. While REG1B/REG1A and TFF1 can be elevated with pancreatic inflammation or other GI conditions, the markedly high creatinine suggests significant renal dysfunction that can distort biomarker levels. Overall pattern (very low CA19-9 plus likely confounding renal disease) is more consistent with non-cancer.</t>
  </si>
  <si>
    <t>CA19-9 is low/within normal range (~18), which argues against pancreatic cancer. Creatinine is normal, reducing concern for falsely altered marker levels from renal dysfunction. The additional biomarkers (LYVE1/REG1B/TFF1/REG1A) do not show a clearly malignant pattern that would override the normal CA19-9, so overall cancer is unlikely.</t>
  </si>
  <si>
    <t>CA19-9 is markedly elevated (641), a level strongly suggestive of pancreatic malignancy in the absence of severe renal dysfunction (creatinine normal). Additional tumor-associated markers (notably very high TFF1 with elevated REG1B/REG1A) further support a pancreatic cancer pattern rather than benign disease.</t>
  </si>
  <si>
    <t>CA19-9 is low/normal (10), which argues against pancreatic cancer. Although REG1B and TFF1 appear elevated, these markers can rise with benign pancreatic/inflammatory conditions and are less specific without a concurrent CA19-9 rise. Young age (38) further lowers baseline cancer likelihood; creatinine is mildly elevated but not cancer-specific.</t>
  </si>
  <si>
    <t>CA19-9 is extremely elevated (1475), far above typical benign ranges and strongly suggestive of pancreatic malignancy. Additional tumor-associated biomarkers (REG1B, TFF1, REG1A) are markedly elevated, supporting a cancer pattern rather than isolated inflammation; low creatinine does not explain the CA19-9 rise.</t>
  </si>
  <si>
    <t>CA19-9 is markedly elevated (328), which is strongly suggestive of pancreatic malignancy in the appropriate clinical context. The additional pancreatic cancer–associated protein markers (LYVE1, REG1B, TFF1, REG1A) are also very high, reinforcing a cancer pattern rather than benign disease. Creatinine is not severely elevated, making a false CA19-9 elevation from renal impairment less likely.</t>
  </si>
  <si>
    <t>CA19-9 is markedly elevated (182) in an elderly patient, which is strongly suggestive of pancreatic malignancy when not explained by renal impairment (creatinine is low/normal). The accompanying panel shows high REG1B/REG1A and elevated TFF1, a biomarker pattern more consistent with pancreatic tumor-associated changes than benign baseline levels.</t>
  </si>
  <si>
    <t>CA19-9 is low/normal (20), which argues against pancreatic cancer. While creatinine is markedly elevated (possible renal impairment) and some protein markers (e.g., REG1A/REG1B/TFF1) are elevated, these can rise with pancreatitis/inflammation and renal dysfunction and are less specific than CA19-9. Overall pattern is more consistent with non-malignant causes than pancreatic cancer.</t>
  </si>
  <si>
    <t>CA19-9 is low/normal (11), which argues against pancreatic cancer. Creatinine is normal, reducing concern for falsely altered marker interpretation. The provided protein biomarkers (LYVE1, REG1B, TFF1, REG1A) do not show a pattern suggestive of malignancy in the absence of an elevated CA19-9, so overall cancer is unlikely.</t>
  </si>
  <si>
    <t>CA19-9 is low/normal (22), which argues against pancreatic cancer in most cases. The other markers (LYVE1, REG1B/REG1A, TFF1) are not showing a pattern strongly suggestive of malignancy without an elevated CA19-9; these can be influenced by benign pancreatic/inflammatory conditions. Overall biomarker profile favors no pancreatic cancer.</t>
  </si>
  <si>
    <t>CA19-9 is only mildly elevated (62) and can rise with benign biliary/inflammatory conditions; creatinine is low/normal so renal retention is unlikely to explain changes. The protein biomarkers (LYVE1, REG1B, REG1A, TFF1) do not show a pattern strongly suggestive of pancreatic cancer given the modest CA19-9 and absence of markedly abnormal supporting markers, making cancer less likely overall.</t>
  </si>
  <si>
    <t>CA19-9 is very low (5.8), which argues strongly against pancreatic cancer in most cases. Although creatinine is markedly elevated (renal dysfunction) and some protein biomarkers (e.g., REG1B/TFF1/LYVE1) are elevated, these markers are less specific and can be influenced by non-malignant pancreatic/inflammatory conditions and impaired clearance. Overall biomarker pattern favors no pancreatic cancer.</t>
  </si>
  <si>
    <t>CA19-9 is extremely elevated (1624), a level strongly suggestive of pancreatic malignancy in the appropriate clinical context. Additional pancreatic cancer–associated protein markers (REG1A/REG1B, TFF1, LYVE1) are also markedly elevated, reinforcing a cancer pattern rather than a benign process; creatinine is not elevated, reducing concern that renal impairment is artifactually raising markers.</t>
  </si>
  <si>
    <t>CA19-9 is low/near-normal (30), which argues against pancreatic cancer in this screening context. While REG1B and TFF1 are elevated, these markers can rise with benign pancreatic/inflammatory conditions; without a clearly elevated CA19-9 or other strong malignant pattern, overall profile is more consistent with non-cancer.</t>
  </si>
  <si>
    <t>CA19-9 is extremely elevated (1503), far above typical benign ranges, strongly suggestive of pancreatic malignancy in this context. Age is high-risk, creatinine is normal (less likely CA19-9 artifact from renal impairment), and the accompanying protein biomarkers (LYVE1/REG1B/TFF1/REG1A) are consistent with a pancreatic cancer-associated signature.</t>
  </si>
  <si>
    <t>CA19-9 is markedly elevated at 147 U/mL (well above the typical upper limit ~37), which is strongly suggestive of pancreatic malignancy in the appropriate context. Creatinine is low/normal, so reduced renal clearance is unlikely to explain biomarker elevations. The provided protein markers (LYVE1, REG1A/REG1B, TFF1) are not clearly reassuring here and do not offset the cancer signal from the high CA19-9 in an older patient.</t>
  </si>
  <si>
    <t>CA19-9 is extremely elevated (600), far above typical benign ranges, strongly supporting pancreatic malignancy. The accompanying panel shows markedly high REG1B, TFF1, and REG1A with elevated LYVE1, a biomarker pattern commonly associated with pancreatic cancer rather than normal/benign disease. Age 75 further increases pre-test probability.</t>
  </si>
  <si>
    <t>CA19-9 is very low (5), which argues strongly against pancreatic cancer in the absence of other compelling signals. Although creatinine is elevated (possible renal dysfunction) and some protein markers (e.g., REG1B/TFF1) are not low, the overall pattern lacks the typical strong tumor-associated elevation seen in pancreatic cancer, with CA19-9 particularly reassuring.</t>
  </si>
  <si>
    <t>CA19-9 is very low (3.53), which is not suggestive of pancreatic cancer. Kidney function (creatinine) is normal, reducing concern for falsely altered marker levels. The additional protein markers provided (LYVE1/REG1A/REG1B/TFF1) do not show a pattern here that would outweigh a clearly non-elevated CA19-9. Overall profile is more consistent with no pancreatic cancer.</t>
  </si>
  <si>
    <t>CA19-9 is low/near-normal (30), which argues against pancreatic cancer. While creatinine is elevated (could affect biomarker clearance) and REG1A/REG1B are elevated, these REG markers can rise with non-malignant pancreatic/inflammatory conditions; without a clearly elevated CA19-9 or strong malignant pattern across markers, cancer is less likely.</t>
  </si>
  <si>
    <t>CA19-9 is extremely elevated (31,000), far above levels typically seen in benign pancreatic/biliary disease and highly suggestive of pancreatic malignancy. The supportive biomarker panel (elevated REG1B/REG1A, TFF1, and LYVE1) further aligns with a pancreatic cancer signature, and there is no renal impairment indicated that would explain such a marked CA19-9 rise.</t>
  </si>
  <si>
    <t>Plasma CA19-9 is extremely low (0.6), which is strongly inconsistent with pancreatic cancer in the absence of other high-risk signals. Creatinine is normal, reducing concern for biomarker distortion from renal dysfunction. The provided protein markers (LYVE1, REG1A/REG1B, TFF1) do not show a pattern suggestive of malignancy without an accompanying CA19-9 elevation.</t>
  </si>
  <si>
    <t>CA19-9 is markedly elevated (601), which is strongly suspicious for pancreatic adenocarcinoma in the absence of obvious renal impairment (creatinine normal). The accompanying abnormal tumor-associated protein profile (elevated/deranged LYVE1, REG1A/REG1B, and very high TFF1) further supports a malignant pancreatic process rather than a benign condition.</t>
  </si>
  <si>
    <t>CA19-9 is extremely elevated (5855), far above typical benign ranges and strongly suggestive of pancreatic malignancy. The panel proteins (notably very high REG1B with elevated REG1A/TFF1/LYVE1) also align with pancreatic cancer-associated signatures. Although creatinine is markedly elevated (renal dysfunction can raise CA19-9), the magnitude plus concordant biomarker pattern makes cancer highly likely.</t>
  </si>
  <si>
    <t>CA19-9 is markedly elevated (271.7), which is strongly suspicious for pancreatic malignancy. The protein panel shows very high TFF1 and elevated REG1B/REG1A, a pattern more consistent with pancreatic cancer–associated biomarker signatures than benign disease. Although creatinine is very high (which can inflate CA19-9 via cholestasis/renal dysfunction), the degree of CA19-9 elevation plus concordant tumor-marker elevations still makes cancer likely.</t>
  </si>
  <si>
    <t>CA19-9 is markedly elevated (291), which is strongly suggestive of pancreatic malignancy in the right clinical context. The additional pancreatic-associated protein markers (REG1B, TFF1, and REG1A) are also elevated, supporting a cancer signal rather than a benign process alone. Although creatinine is high (possible renal impairment) which can contribute to CA19-9 elevation, the combined biomarker pattern remains more consistent with pancreatic cancer.</t>
  </si>
  <si>
    <t>CA19-9 is clearly elevated (167.5; above typical upper limit ~37), and the combined biomarker pattern shows markedly high LYVE1 and TFF1 with elevated REG1B/REG1A, which is more consistent with pancreatic malignancy than benign disease. Creatinine is normal, reducing likelihood that CA19-9 is falsely elevated from renal impairment; advanced age further increases baseline risk.</t>
  </si>
  <si>
    <t>CA19-9 is very low (6.9), which argues against pancreatic cancer. While creatinine is markedly elevated (possible renal dysfunction) and some proteomic markers (e.g., REG1B/TFF1/LYVE1) are not clearly low, the absence of CA19-9 elevation makes active pancreatic cancer less likely overall; abnormalities may reflect non-malignant pancreatic/inflammatory or renal-related effects.</t>
  </si>
  <si>
    <t>CA19-9 is elevated (114.8; above typical upper limit ~37), supporting pancreatic malignancy risk. Adjunct markers (LYVE1, REG1B, TFF1) are also markedly elevated, a pattern more consistent with pancreatic cancer biomarker panels than benign disease. Creatinine is elevated, which can confound CA19-9 somewhat, but the combined biomarker profile still favors cancer.</t>
  </si>
  <si>
    <t>CA19-9 is markedly elevated (422), which strongly supports pancreatic malignancy in the appropriate clinical context. The accompanying panel shows substantially elevated LYVE1, REG1B, and especially TFF1, a biomarker pattern commonly associated with pancreatic cancer rather than benign disease. Age (68) also increases pretest probability.</t>
  </si>
  <si>
    <t>CA19-9 is low/within typical non-cancer range (30), which argues against pancreatic cancer. REG1B is modest and LYVE1 is very low without a concurrent CA19-9 elevation, reducing likelihood of malignancy. Overall biomarker pattern is not characteristic of pancreatic cancer despite elevated TFF1.</t>
  </si>
  <si>
    <t>CA19-9 is extremely elevated (11740), far above typical benign ranges, strongly suggesting pancreatic malignancy. Creatinine is normal, making renal impairment unlikely to explain the CA19-9 level. The accompanying biomarker profile (elevated LYVE1/REG1B/TFF1 and high REG1A) is also consistent with pancreatic cancer signatures in evaluated panels.</t>
  </si>
  <si>
    <t>CA19-9 is very low (6.71), which argues strongly against pancreatic cancer in this screening context. Other markers (LYVE1 low, REG1A modest, TFF1 elevated) are not sufficiently specific to outweigh a normal CA19-9, so overall profile is more consistent with non-cancer.</t>
  </si>
  <si>
    <t>CA19-9 is extremely elevated (1621), which is strongly suggestive of pancreatic malignancy in the appropriate clinical context. Although creatinine is markedly high and renal dysfunction can increase CA19-9, levels this high are more consistent with cancer. Supporting protein biomarkers (very high TFF1 and elevated REG1A/REG1B) further align with a pancreatic cancer profile.</t>
  </si>
  <si>
    <t>CA19-9 is markedly elevated (538), which is strongly suggestive of pancreatic malignancy when renal function is normal (creatinine 0.77 reduces risk of false elevation). Additional pancreatic cancer–associated markers (LYVE1, REG1B, TFF1) are substantially elevated, supporting a cancer profile rather than benign disease.</t>
  </si>
  <si>
    <t>CA19-9 is very low (6.9), which is strongly against pancreatic cancer in most cases. Creatinine is normal, reducing concern for biomarker distortion from renal dysfunction. The additional markers (LYVE1, REG1B, TFF1, REG1A) do not show a pattern suggestive of malignancy without an elevated CA19-9, so overall findings favor no pancreatic cancer.</t>
  </si>
  <si>
    <t>CA19-9 is within the normal range (~&lt;37 U/mL), which lowers suspicion for pancreatic cancer. Creatinine is normal, reducing concern for CA19-9 distortion from renal impairment. While REG1B and TFF1 show elevation and could be associated with pancreatic pathology/inflammation, the absence of an elevated CA19-9 and lack of other strong malignant-pattern markers makes pancreatic cancer less likely overall.</t>
  </si>
  <si>
    <t>Although CA19-9 is markedly elevated (468.3), the patient is very young (29) and has severe renal dysfunction (creatinine 280.488), which can falsely raise CA19-9 due to reduced clearance/cholestasis. The additional protein biomarkers (LYVE1, REG1B, REG1A) are not strongly in a cancer-consistent pattern, and TFF1 is only moderately elevated. Overall this profile is more consistent with non-malignant elevation of CA19-9 than pancreatic cancer.</t>
  </si>
  <si>
    <t>CA19-9 is elevated (66; above typical 37 cutoff), and the cancer-associated protein panel shows markedly high TFF1 with elevated REG1B/REG1A, a pattern more consistent with pancreatic malignancy than benign conditions; normal creatinine makes a false CA19-9 elevation from renal impairment less likely.</t>
  </si>
  <si>
    <t>CA19-9 is only mildly elevated (50) and can rise with benign biliary/pancreatic inflammation; age is relatively young for pancreatic cancer. Creatinine is normal, reducing concern for false elevation from renal impairment. The protein marker pattern (very high REG1A with elevated REG1B/TFF1 and moderate LYVE1) is more consistent with benign/regenerative/inflammatory pancreatic changes than a strong pancreatic cancer signature.</t>
  </si>
  <si>
    <t>CA19-9 is low/within typical non-malignant range (22), which argues against pancreatic cancer. Creatinine is normal, reducing concern for CA19-9 distortion from renal impairment. The other protein markers are not strongly suggestive of a clear pancreatic cancer pattern in the absence of elevated CA19-9, so overall cancer is unlikely.</t>
  </si>
  <si>
    <t>CA19-9 is extremely elevated (1098; far above typical benign/obstructive ranges and strongly suggestive of pancreatic malignancy). The accompanying marker pattern (very high TFF1 with elevated REG1B/REG1A and LYVE1) is consistent with a pancreatic cancer biomarker signature rather than normal physiology. Mildly elevated creatinine is unlikely to explain this magnitude of CA19-9.</t>
  </si>
  <si>
    <t>CA19-9 is only mildly elevated (43) and not in a range typically strongly suggestive of pancreatic cancer; creatinine is low so renal impairment is unlikely to be falsely inflating CA19-9. The additional biomarkers show no clear high-risk pattern here (REG1A relatively low, TFF1 not markedly elevated), making pancreatic cancer less likely overall despite advanced age.</t>
  </si>
  <si>
    <t>CA19-9 is low/within normal range (16.2), which argues against pancreatic cancer. Although age is high and creatinine is markedly elevated (renal impairment can confound biomarker levels), the available cancer-associated marker (CA19-9) is not elevated and the overall pattern is more consistent with non-malignant/benign or renal-related changes than pancreatic cancer.</t>
  </si>
  <si>
    <t>CA19-9 is markedly elevated (155; above typical benign ranges), and the pancreatic cancer–associated protein markers (LYVE1, REG1B, TFF1) are all high in a pattern consistent with malignant pancreatic disease rather than isolated renal dysfunction (creatinine is normal).</t>
  </si>
  <si>
    <t>CA19-9 is low/normal (12.84), which argues strongly against pancreatic cancer, especially without other clinical red flags. Patient is relatively young (40). Creatinine is low-normal and does not suggest biliary obstruction affecting CA19-9. Although REG1B/TFF1/LYVE1 are measurable, the dominant marker CA19-9 is not elevated, making cancer unlikely.</t>
  </si>
  <si>
    <t>CA19-9 is markedly elevated (523), which is strongly suspicious for pancreatic malignancy in the appropriate context. The additional pancreas-associated protein markers (REG1B/REG1A and TFF1) are also elevated, supporting a pancreatic pathological process. Although creatinine is high (which can confound CA19-9 via impaired clearance/cholestasis), the magnitude of CA19-9 plus the concordant biomarker pattern makes pancreatic cancer more likely than benign disease.</t>
  </si>
  <si>
    <t>CA19-9 is extremely elevated (1318), far above typical benign ranges, strongly suggesting pancreatic malignancy. The additional pancreatic-associated markers (very high TFF1 and markedly elevated REG1A/REG1B) further support a cancer-associated signature rather than isolated biliary obstruction or inflammation. Creatinine is very high and could confound CA19-9 somewhat, but the magnitude and multi-marker pattern still make pancreatic cancer likely.</t>
  </si>
  <si>
    <t>CA19-9 is markedly elevated (309), which is strongly suspicious for pancreatic malignancy in the appropriate clinical context. The accompanying panel shows high TFF1 and elevated REG1B/REG1A, a biomarker pattern commonly associated with pancreatic cancer rather than benign disease. Normal creatinine reduces concern that CA19-9 is falsely elevated from renal impairment.</t>
  </si>
  <si>
    <t>CA19-9 is elevated (72; above typical normal cutoff ~37), which supports pancreatic malignancy risk in an older patient. The accompanying biomarker profile (notably high REG1B/REG1A with elevated LYVE1/TFF1) is more consistent with a pancreatic cancer–associated signature than a clearly benign pattern. Creatinine is only mildly elevated and does not readily explain the CA19-9 rise.</t>
  </si>
  <si>
    <t>CA19-9 is markedly elevated (158), which is concerning for pancreatic malignancy. The additional protein biomarkers (notably very high TFF1 with elevated LYVE1/REG1B) further support a cancer-associated signature rather than a benign condition. Creatinine is elevated and could contribute to CA19-9 elevation, but the overall multi-marker pattern still favors pancreatic cancer.</t>
  </si>
  <si>
    <t>CA19-9 is markedly elevated (147.7; above common clinical cutoffs ~37 and often &gt;100 raises strong concern). The supportive biomarker panel (elevated LYVE1/REG1B/TFF1/REG1A) is consistent with malignant pancreatic disease rather than normal baseline. No clear alternative explanation is provided in the record, so pancreatic cancer is likely.</t>
  </si>
  <si>
    <t>CA19-9 is markedly elevated (216), which is strongly suggestive of pancreatic malignancy in this evaluation context. The additional pancreatic-associated markers (LYVE1/REG1B/TFF1/REG1A) appear elevated, supporting a cancer-associated biomarker pattern. Creatinine is mildly high but not enough to explain this degree of CA19-9 elevation.</t>
  </si>
  <si>
    <t>CA19-9 is extremely elevated (1916), far above typical benign ranges and strongly suggestive of pancreatic malignancy. In addition, pancreatic cancer–associated protein markers (REG1B and TFF1) are markedly elevated, supporting a cancer profile. Although creatinine is somewhat elevated (which can modestly affect CA19-9), it is unlikely to explain such an extreme CA19-9 level.</t>
  </si>
  <si>
    <t>CA19-9 is markedly elevated (655), strongly suggestive of pancreatic malignancy in the appropriate clinical context. The additional pancreatic cancer–associated protein markers (LYVE1, REG1B, TFF1) are also high, reinforcing a cancer pattern rather than benign disease. Creatinine is low and does not explain CA19-9 elevation via renal impairment.</t>
  </si>
  <si>
    <t>CA19-9 is markedly elevated (537), far above typical non-malignant ranges and strongly suggestive of pancreatic malignancy in this evaluation context. Renal function (creatinine ~0.97) is normal, making a false CA19-9 elevation from impaired clearance less likely. The accompanying pancreatic-marker pattern (elevated REG1B/REG1A and TFF1) is consistent with pancreatic tumor-associated changes.</t>
  </si>
  <si>
    <t>CA19-9 is markedly elevated (190.7), which strongly raises suspicion for pancreatic malignancy in an evaluation setting. The additional pancreatic-associated protein markers (LYVE1, REG1B, TFF1, REG1A) are also elevated in a pattern consistent with cancer-associated biomarker panels. Creatinine is elevated and could modestly contribute to CA19-9 elevation, but it is unlikely to fully explain this level; overall biomarker profile favors pancreatic cancer.</t>
  </si>
  <si>
    <t>CA19-9 is only moderately elevated (120) and can rise from non-malignant causes; creatinine is markedly elevated, which can reduce clearance and inflate CA19-9. The additional protein markers (LYVE1, REG1B, TFF1) are not strikingly high for a pancreatic cancer pattern, supporting a non-cancer explanation for the CA19-9 increase.</t>
  </si>
  <si>
    <t>CA19-9 is low/within normal range (21), which argues against pancreatic cancer. Although creatinine is markedly elevated (could affect physiology and biomarker clearance) and some protein markers are present, there is no strong cancer signal (notably no CA19-9 elevation), and age is relatively young for typical pancreatic cancer presentation.</t>
  </si>
  <si>
    <t>CA19-9 is extremely elevated (1471), far above levels typically seen in benign conditions and strongly suggestive of pancreatic malignancy. Age (65) increases baseline risk. The accompanying biomarker pattern (elevated LYVE1/REG1B/TFF1) is also consistent with a pancreatic cancer signature rather than non-cancer.</t>
  </si>
  <si>
    <t>CA19-9 is very low (6), which is not suggestive of pancreatic cancer. Age is young (37) and creatinine is normal, reducing concern for confounding elevation. While REG1B/REG1A and TFF1 show some elevation, in the absence of CA19-9 elevation and with otherwise non-supportive features, the overall profile is more consistent with non-malignant pancreatic/inflammatory variation than pancreatic cancer.</t>
  </si>
  <si>
    <t>CA19-9 is very low (2.0), which is not suggestive of pancreatic cancer. Age is relatively young (44). The provided protein markers (LYVE1, REG1B, TFF1, REG1A) do not show a pattern strongly consistent with pancreatic malignancy in the absence of CA19-9 elevation, and renal function (creatinine) is normal, reducing concern for biomarker distortion.</t>
  </si>
  <si>
    <t>CA19-9 is low/within normal range (26), which argues against pancreatic cancer. Although creatinine is markedly elevated (possible renal dysfunction that can confound biomarkers), the additional markers (LYVE1 low; REG1A/REG1B and TFF1 not showing a distinctly cancer-typical pattern) do not strongly support malignancy. Overall profile is more consistent with non-cancer.</t>
  </si>
  <si>
    <t>CA19-9 is extremely low (1.0), which argues strongly against pancreatic cancer. Although REG1B and TFF1 are elevated, these markers can rise with non-malignant pancreatic/inflammatory conditions and renal dysfunction; creatinine is markedly high (~321), which can distort biomarker levels. Overall pattern favors no pancreatic cancer.</t>
  </si>
  <si>
    <t>CA19-9 is low/within typical non-cancer range (~18), which argues against pancreatic cancer. No other provided markers show a clearly malignant pattern in this record, and kidney function (creatinine ~0.87) is normal, reducing concern for confounded CA19-9 elevation.</t>
  </si>
  <si>
    <t>CA19-9 is extremely elevated (641), far above typical benign ranges and strongly suggestive of pancreatic malignancy. Additional biomarker pattern (notably very high TFF1 with elevated REG1B/LYVE1) is consistent with a cancer-associated signature, and creatinine is normal so renal impairment is unlikely to explain the CA19-9 elevation.</t>
  </si>
  <si>
    <t>CA19-9 is low/normal (10), which argues strongly against pancreatic cancer. The patient is young (38), lowering baseline risk. While REG1B/TFF1/LYVE1 are present, without an elevated CA19-9 or other clear malignant pattern they are more consistent with non-malignant pancreatic/inflammatory signals; creatinine is mildly elevated but does not specifically indicate cancer.</t>
  </si>
  <si>
    <t>CA19-9 is extremely elevated (1475), far above levels typically seen in benign conditions, strongly suggesting pancreatic malignancy. Age (68) increases baseline risk, and the accompanying markedly abnormal protein biomarker profile (elevated LYVE1/REG1B/TFF1/REG1A) is consistent with pancreatic cancer signatures. Low creatinine does not explain the CA19-9 elevation.</t>
  </si>
  <si>
    <t>CA19-9 is markedly elevated (328), well above typical benign ranges, and the adjunct pancreatic-cancer biomarker panel is strongly positive with very high TFF1 and REG1B (with elevated LYVE1/REG1A). In an elderly patient, this combined pattern is highly suggestive of pancreatic malignancy rather than non-cancer causes.</t>
  </si>
  <si>
    <t>CA19-9 is markedly elevated (182), which is strongly suspicious for pancreatic malignancy in an elderly patient. The accompanying panel shows very high REG1B and elevated TFF1/REG1A, a pattern often associated with pancreatic tumor/inflammatory activity; while pancreatitis can raise these markers, the magnitude and combined elevation make cancer more likely.</t>
  </si>
  <si>
    <t>CA19-9 is low/normal (~20), which argues against pancreatic cancer. The other listed proteins (LYVE1/REG1B/TFF1/REG1A) are not markedly elevated in a pattern strongly suggestive of malignancy, and the very high creatinine suggests significant renal dysfunction that can confound biomarker interpretation rather than indicating pancreatic cancer.</t>
  </si>
  <si>
    <t>CA19-9 is low/normal (11), which argues against pancreatic cancer. Creatinine is normal, reducing concern for biomarker distortion from renal dysfunction. The additional markers (LYVE1, REG1B, TFF1, REG1A) do not show a pattern strongly suggestive of pancreatic cancer in the absence of elevated CA19-9. Overall profile is more consistent with no cancer.</t>
  </si>
  <si>
    <t>CA19-9 is low/within normal range (22), which argues against pancreatic cancer. While REG1A/REG1B and TFF1 show elevations suggestive of pancreatic inflammation/benign pancreatic disease, the lack of a CA19-9 rise makes malignancy less likely in this profile, especially without additional cancer-specific markers or clinical red flags.</t>
  </si>
  <si>
    <t>CA19-9 is only mildly elevated (62) and can rise with benign biliary/inflammatory conditions; creatinine is normal/low so renal retention is unlikely. The panel markers (LYVE1, REG1B, TFF1, REG1A) do not show a clearly malignant pattern dominated by markedly high CA19-9, making pancreatic cancer less likely overall.</t>
  </si>
  <si>
    <t>CA19-9 is very low (5.8), which argues strongly against pancreatic cancer. Although creatinine is markedly elevated (renal dysfunction), this would more often raise CA19-9 via impaired clearance rather than keep it low. The additional markers (LYVE1/REG1B/TFF1/REG1A) are not clearly suggestive of a pancreatic cancer signature in the absence of CA19-9 elevation. Overall pattern favors no pancreatic cancer.</t>
  </si>
  <si>
    <t>CA19-9 is extremely elevated (1624), far above typical benign ranges and strongly suggestive of pancreatic malignancy in this context. Additional cancer-associated protein markers (LYVE1, REG1B, TFF1) are markedly elevated, supporting a pancreatic cancer signature. Creatinine is low, making renal-impaired false elevation of CA19-9 less likely.</t>
  </si>
  <si>
    <t>CA19-9 is low/within normal range (30), which argues against pancreatic cancer. The additional protein markers (LYVE1, REG1B, TFF1, REG1A) are not strikingly suggestive of a malignant pattern in this record, and there are no supporting clinical features provided. Overall biomarker profile favors no pancreatic cancer.</t>
  </si>
  <si>
    <t>CA19-9 is extremely elevated (1503), far above typical benign-range elevations, strongly indicating pancreatic malignancy in this age group. Complementary protein biomarkers (notably high REG1B and elevated LYVE1/TFF1 pattern) are also consistent with pancreatic cancer signatures. Creatinine is normal, making renal-related CA19-9 elevation unlikely.</t>
  </si>
  <si>
    <t>CA19-9 is markedly elevated (147), which is above typical benign-range values and raises suspicion for pancreatic malignancy in this age group. Supporting biomarker pattern shows very high TFF1 with elevated REG1A/REG1B, consistent with pancreatic ductal pathology; creatinine is low/normal so renal impairment is unlikely to explain the CA19-9 elevation. Overall profile favors pancreatic cancer over no-cancer.</t>
  </si>
  <si>
    <t>CA19-9 is extremely elevated (600), which strongly supports pancreatic malignancy in this age group. The accompanying panel markers (notably high REG1B and TFF1) are also consistent with a pancreatic cancer biomarker pattern rather than benign disease. Creatinine is low and does not explain a false CA19-9 elevation.</t>
  </si>
  <si>
    <t>CA19-9 is very low (5), which argues strongly against pancreatic cancer. While REG1B/TFF1/LYVE1 are not clearly extreme in a cancer-typical direction, the dominant marker CA19-9 does not support malignancy; mildly elevated creatinine could reflect renal impairment rather than cancer.</t>
  </si>
  <si>
    <t>CA19-9 is very low (3.53), which argues strongly against pancreatic cancer. Creatinine is normal, reducing concern for biomarker distortion from renal dysfunction. The additional markers (LYVE1, REG1A/REG1B, TFF1) do not show a clearly malignant pattern sufficient to outweigh the very low CA19-9 and absence of other high-risk signals in the record.</t>
  </si>
  <si>
    <t>CA19-9 is within the normal/low range (~30), which argues against pancreatic cancer. The additional protein markers (LYVE1, REG1B/REG1A, TFF1) do not show a clear malignant pattern here and could reflect non-malignant pancreatic/inflammatory variation. Creatinine is mildly elevated, which can confound some labs, but would be more likely to raise rather than keep CA19-9 low; overall the biomarker profile favors no cancer.</t>
  </si>
  <si>
    <t>CA19-9 is extremely elevated (31000), far above levels typically seen in benign pancreatic/biliary conditions, strongly suggesting pancreatic malignancy. Additional cancer-associated protein biomarkers (LYVE1, REG1B/REG1A, TFF1) are markedly elevated, reinforcing a pancreatic cancer profile. No renal impairment signal (creatinine low/normal) to explain spurious CA19-9 elevation.</t>
  </si>
  <si>
    <t>CA19-9 is extremely low (0.6), which is strongly inconsistent with typical pancreatic cancer signal. The other biomarkers (LYVE1, REG1A/REG1B, TFF1) do not show a pattern suggesting malignancy in the absence of CA19-9 elevation, and creatinine is normal, reducing concern for lab distortion from renal dysfunction.</t>
  </si>
  <si>
    <t>CA19-9 is markedly elevated (601), which is strongly suggestive of pancreatic malignancy in the appropriate clinical context. Supporting biomarker pattern (very high TFF1 and elevated REG1B/REG1A with LYVE1 changes) is consistent with pancreatic cancer-associated protein signatures rather than normal findings. Creatinine is normal, reducing the likelihood that the CA19-9 elevation is due to renal impairment.</t>
  </si>
  <si>
    <t>CA19-9 is extremely elevated (5855), far above levels typically seen in benign conditions, strongly suggesting pancreatic malignancy. Age (66) increases baseline risk, and the accompanying biomarker panel (elevated REG1B/TFF1/REG1A/LYVE1) is consistent with a pancreatic cancer-associated signature. Although creatinine is markedly high and renal dysfunction can raise CA19-9, the magnitude of elevation makes cancer highly likely.</t>
  </si>
  <si>
    <t>CA19-9 is markedly elevated (271.7), which is strongly suspicious for pancreatic malignancy in the appropriate clinical context. The additional protein markers (LYVE1, REG1B, TFF1) are also high, a pattern that aligns with pancreatic cancer biomarker panels. Creatinine is very elevated and could contribute to biomarker elevation, but the degree and pattern of tumor markers still make cancer more likely than not.</t>
  </si>
  <si>
    <t>CA19-9 is markedly elevated (291), which strongly raises suspicion for pancreatic malignancy. The additional pancreatic cancer–associated protein biomarkers (LYVE1, REG1B, TFF1) are not low and are consistent with a malignant/inflammatory pancreatic process. Although creatinine is elevated (which can affect CA19-9 and suggests renal impairment), the CA19-9 level is high enough that cancer remains more likely than not.</t>
  </si>
  <si>
    <t>CA19-9 is markedly elevated (167.5; above typical 37 cutoff), which is strongly suggestive of pancreatic malignancy in the right clinical context. Creatinine is normal, reducing likelihood of nonspecific CA19-9 elevation from renal impairment. The panel proteins (LYVE1/REG1A/REG1B/TFF1) are not clearly low and do not counterbalance the high CA19-9; advanced age also increases baseline risk. Overall pattern leans toward pancreatic cancer.</t>
  </si>
  <si>
    <t>CA19-9 is very low (6.9), which argues strongly against pancreatic cancer. While creatinine is markedly elevated (suggesting renal impairment that can confound some labs), there is no corresponding CA19-9 elevation; the other protein markers shown are not in a pattern strongly suggestive of pancreatic cancer on their own. Overall biomarker profile favors no cancer.</t>
  </si>
  <si>
    <t>CA19-9 is elevated (114.8; above typical cutoff ~37) and REG1B is markedly high, a pattern associated with pancreatic malignancy. Although age is relatively young and creatinine is elevated (which can sometimes confound markers), the combined biomarker profile (CA19-9 + REG family proteins) favors pancreatic cancer over benign causes.</t>
  </si>
  <si>
    <t>CA19-9 is markedly elevated (422), which is strongly suggestive of pancreatic malignancy in the appropriate clinical context. The accompanying protein biomarker pattern (very high LYVE1, REG1B, and TFF1) is consistent with a pancreatic cancer-associated signature rather than normal/benign levels. Overall biomarker burden strongly favors pancreatic cancer.</t>
  </si>
  <si>
    <t>CA19-9 is within the normal/low range (~30), which argues against pancreatic cancer in many cases. The additional protein markers (LYVE1 very low, REG1B moderate, TFF1 elevated) do not form a strongly cancer-typical pattern without a concomitant CA19-9 rise, and creatinine is not elevated (reducing concern for CA19-9 distortion from renal dysfunction). Overall profile is more consistent with non-malignant/inflammatory variation than pancreatic cancer.</t>
  </si>
  <si>
    <t>CA19-9 is extremely elevated (11740), far above typical benign elevations, strongly indicating pancreatic malignancy. Age 66 increases baseline risk, and creatinine is normal so the CA19-9 rise is unlikely due to renal impairment. Additional pancreatic-associated protein markers (elevated REG1B/TFF1/LYVE1) further support a cancer profile.</t>
  </si>
  <si>
    <t>CA19-9 is very low (6.71, well below typical cancer-associated elevations). Other listed markers (LYVE1, REG1A/REG1B, TFF1) do not show a pattern strongly suggestive of pancreatic cancer in the absence of CA19-9 elevation. Overall biomarker profile is more consistent with no pancreatic cancer.</t>
  </si>
  <si>
    <t>CA19-9 is extremely elevated (1621), a level highly suggestive of pancreatic malignancy in the right context. Although creatinine is markedly high (possible renal dysfunction can inflate CA19-9), the CA19-9 magnitude plus markedly abnormal pancreatic-associated proteins (very high TFF1 and elevated REG family markers) supports pancreatic cancer rather than benign elevation alone.</t>
  </si>
  <si>
    <t>CA19-9 is markedly elevated (538), which strongly supports pancreatic malignancy in the appropriate clinical context. The accompanying biomarker panel shows very high TFF1 and elevated REG1B/REG1A, a pattern consistent with pancreatic tumor-associated secretory changes rather than normal variation. Renal function (creatinine 0.77) is normal, reducing the likelihood of a false CA19-9 elevation from impaired clearance.</t>
  </si>
  <si>
    <t>CA19-9 is very low (6.9), which argues strongly against pancreatic cancer in this context. Creatinine is normal, reducing concern for biomarker distortion from renal dysfunction. The additional protein markers (LYVE1, REG1B, TFF1, REG1A) do not show a pattern suggestive of pancreatic cancer overriding the very low CA19-9.</t>
  </si>
  <si>
    <t>CA19-9 is within/near the normal range (~31) and does not suggest pancreatic malignancy. Creatinine is normal, reducing concern for biomarker distortion from renal dysfunction. While REG1B, TFF1, and LYVE1 show some elevation, the absence of a clearly elevated CA19-9 and lack of a strongly malignant biomarker pattern overall makes pancreatic cancer less likely than benign/inflammatory processes.</t>
  </si>
  <si>
    <t>CA19-9 is markedly elevated (468.3), which strongly raises suspicion for pancreatic malignancy. The accompanying panel shows very high TFF1 and REG1B/REG1A with elevated LYVE1, a biomarker pattern more consistent with pancreatic cancer-associated pancreatic injury than a benign state. Although the patient is young (29) and creatinine is high (possible renal impairment can inflate CA19-9), the degree of CA19-9 elevation plus the multi-marker elevation supports cancer as the more likely explanation.</t>
  </si>
  <si>
    <t>CA19-9 is elevated (66, above typical normal ~&lt;37). In addition, the pancreatic protein markers REG1B and REG1A are markedly elevated and TFF1 is extremely high, a pattern more consistent with pancreatic malignancy-associated biomarker elevation than benign variation; normal creatinine makes renal-related marker distortion less likely.</t>
  </si>
  <si>
    <t>CA19-9 is only mildly elevated (50) and can be raised in benign biliary/pancreatic inflammation; creatinine is normal, reducing concern for non-specific elevation. The reported protein markers (LYVE1, REG1B, TFF1, REG1A) do not show a pattern strongly suggestive of pancreatic cancer here, so overall findings fit better with no cancer than with malignancy.</t>
  </si>
  <si>
    <t>CA19-9 is low/within normal range (22), which argues against pancreatic cancer. Creatinine is normal, reducing concern for falsely altered marker levels from renal dysfunction. While LYVE1/REG1B/TFF1 show no clear extreme elevation suggestive of a strong cancer signal, the overall biomarker pattern is more consistent with non-cancer than pancreatic malignancy.</t>
  </si>
  <si>
    <t>CA19-9 is extremely elevated (1098), far above levels typically seen in benign conditions and strongly suggestive of pancreatic malignancy. The additional pancreatic-cancer–associated markers (notably very high TFF1 with elevated REG1B/REG1A) support a cancer signature. Creatinine is only mildly elevated and does not explain the markedly high CA19-9.</t>
  </si>
  <si>
    <t>CA19-9 is only mildly elevated (43), which is a weak/low-specificity signal for pancreatic cancer and can occur with benign conditions. The other biomarkers (LYVE1, REG1B, TFF1, REG1A) do not show a clear high-risk pattern suggestive of malignancy in this record. Overall profile is more consistent with non-cancer than pancreatic cancer.</t>
  </si>
  <si>
    <t>CA19-9 is low/within normal range (16.2), which argues against pancreatic cancer in most cases. Although age is high and creatinine is markedly elevated (renal impairment can confound some markers), the primary tumor-associated signal here is not elevated. The other proteins (LYVE1/REG1B/TFF1/REG1A) are not clearly diagnostic without a strong CA19-9 rise, so overall profile is more consistent with non-cancer.</t>
  </si>
  <si>
    <t>CA19-9 is markedly elevated (155; typically &gt;37 is abnormal and &gt;100 increases suspicion for pancreatic malignancy). Supporting biomarker pattern shows high REG1B and TFF1 with very high REG1A, which are commonly increased in pancreatic ductal adenocarcinoma panels. Normal creatinine reduces likelihood that CA19-9 elevation is due to renal impairment.</t>
  </si>
  <si>
    <t>CA19-9 is low/within normal range (~12.8), which argues against pancreatic cancer. At age 40 (lower baseline risk) and without markedly elevated CA19-9, the overall biomarker pattern is more consistent with no pancreatic cancer despite variation in adjunct markers (LYVE1/REG1B/TFF1/REG1A), which are less specific than CA19-9.</t>
  </si>
  <si>
    <t>CA19-9 is markedly elevated (523), which strongly favors pancreatic malignancy over benign conditions. The accompanying biomarker pattern (very high REG1B and elevated REG1A/TFF1) is consistent with pancreatic tumor-associated changes. Although creatinine is high (which can confound CA19-9 via cholestasis/renal dysfunction), the magnitude of CA19-9 elevation plus multiple supportive pancreatic markers makes cancer more likely than not.</t>
  </si>
  <si>
    <t>CA19-9 is extremely elevated (1318), a level strongly suggestive of pancreatic malignancy in the appropriate clinical context. Additional cancer-associated markers (notably very high TFF1 and elevated REG1A/REG1B) support a pancreatic tumor signal. While renal dysfunction (high creatinine) can raise CA19-9 somewhat, it is unlikely to account for this magnitude of elevation.</t>
  </si>
  <si>
    <t>CA19-9 is markedly elevated (309), which is strongly suggestive of pancreatic malignancy in the appropriate clinical context. The additional protein biomarkers (LYVE1, REG1B, TFF1, REG1A) are also highly elevated, a pattern consistent with pancreatic cancer biomarker panels rather than normal/benign ranges. Normal creatinine reduces concern that CA19-9 is spuriously elevated from renal impairment.</t>
  </si>
  <si>
    <t>CA19-9 is elevated (72; above the typical 37 cutoff), which increases suspicion for pancreatic malignancy in an older patient. The accompanying biomarker pattern (notably elevated REG1B/REG1A and TFF1) is more consistent with pancreatic pathology than normal baseline values, supporting a cancer-likely classification despite creatinine not being markedly abnormal.</t>
  </si>
  <si>
    <t>CA19-9 is markedly elevated (158; typically &gt;37 is abnormal), which is a strong pancreatic cancer signal in the right clinical context. Creatinine is high, which can contribute to biomarker elevation and adds uncertainty, but the combination with elevated cancer-associated proteins (notably very high TFF1 with supportive REG/LYVE1 changes) favors malignancy over benign disease in this profile.</t>
  </si>
  <si>
    <t>CA19-9 is markedly elevated (147.7, above typical ~37 U/mL cutoff), which supports pancreatic malignancy in the right context. The additional pancreatic-associated protein markers (LYVE1, REG1B/REG1A, TFF1) are also high, a pattern more consistent with pancreatic cancer than a benign state. Creatinine is low and does not explain CA19-9 elevation via renal impairment.</t>
  </si>
  <si>
    <t>CA19-9 is markedly elevated (216), which is strongly suggestive of pancreatic malignancy in the appropriate clinical context. The accompanying pancreatic biomarker panel shows notably high REG1A (58.124) and elevated REG1B/TFF1/LYVE1, a pattern more consistent with pancreatic cancer than benign disease. Mildly elevated creatinine could influence CA19-9 somewhat but is unlikely to explain this degree of elevation.</t>
  </si>
  <si>
    <t>CA19-9 is extremely elevated (1916), far above levels typically seen in benign conditions, strongly suggesting pancreatic malignancy. Age 73 increases baseline risk, and the accompanying marked elevations in pancreatic cancer–associated protein markers (REG1B, TFF1, LYVE1) further support a cancer signature. Mildly elevated creatinine could contribute to some CA19-9 increase, but not to this magnitude.</t>
  </si>
  <si>
    <t>CA19-9 is markedly elevated (655), far above typical benign ranges, and the panel biomarkers (notably very high TFF1 and REG1B) show a strong malignant-associated signature in an elderly patient. Low creatinine does not explain the CA19-9 elevation, making pancreatic cancer highly likely.</t>
  </si>
  <si>
    <t>CA19-9 is markedly elevated (537), strongly suggestive of pancreatic malignancy in the appropriate clinical context. Supporting biomarker pattern includes substantially elevated REG1B and REG1A with elevated TFF1, which are associated with pancreatic cancer–related ductal/inflammatory signatures. Creatinine is normal, making renal impairment an unlikely explanation for the high CA19-9.</t>
  </si>
  <si>
    <t>CA19-9 is markedly elevated (190.7), which is strongly suspicious for pancreatic malignancy in the appropriate clinical context. The additional pancreas-associated protein markers (LYVE1, REG1B, TFF1, REG1A) are collectively high, supporting a cancer-associated signature rather than a benign state. Creatinine is not high enough to readily explain a false CA19-9 elevation from renal impairment alone.</t>
  </si>
  <si>
    <t>CA19-9 is elevated at 120 (above typical normal range), which supports pancreatic malignancy risk. The panel markers (LYVE1, REG1B, TFF1) are all markedly elevated, a pattern more consistent with pancreatic cancer than benign disease. Although creatinine is high (could confound CA19-9 via cholestasis/renal dysfunction), the concordant elevation across multiple cancer-associated biomarkers still makes cancer likely.</t>
  </si>
  <si>
    <t>CA19-9 is low/within normal range (21), which argues against pancreatic cancer. Although creatinine is markedly elevated (which can confound some lab values), the absence of CA19-9 elevation and no strongly cancer-indicative pattern from the provided markers supports a non-cancer classification.</t>
  </si>
  <si>
    <t>CA19-9 is extremely elevated (1471), far above typical benign ranges and strongly suggestive of pancreatic malignancy in this context. Additional markedly abnormal protein biomarker values (e.g., very high TFF1 and elevated REG family markers) support a pancreatic cancer-associated signature rather than a non-cancer state.</t>
  </si>
  <si>
    <t>CA19-9 is very low (6), which argues strongly against pancreatic cancer in this context. Other markers (LYVE1, REG1A/REG1B, TFF1) do not show a pattern suggesting malignancy, and renal function (creatinine ~0.72) would not falsely elevate CA19-9. Overall biomarker profile is more consistent with no pancreatic cancer.</t>
  </si>
  <si>
    <t>Plasma CA19-9 is very low (2.0), which is strongly inconsistent with pancreatic cancer in most detectable cases. Age is relatively young (44). The additional markers provided (LYVE1, REG1B, TFF1, REG1A) do not show a pattern suggestive of malignancy given the overall low tumor marker signal, supporting a non-cancer classification.</t>
  </si>
  <si>
    <t>CA19-9 is within the normal/low range (26), which argues against pancreatic cancer. Although creatinine is markedly elevated (renal dysfunction can affect biomarkers), there is no CA19-9 elevation and the additional markers (LYVE1 low; REG1A/REG1B and TFF1 not showing a pattern strongly suggestive of malignancy). Younger age (38) also lowers pretest probability.</t>
  </si>
  <si>
    <t>CA19-9 is extremely low (1.0), which is strongly against pancreatic cancer. Although REG1B/REG1A and TFF1 are elevated, these markers can rise with pancreatitis or other benign pancreatic/biliary conditions and are not specific. Markedly high creatinine suggests significant renal dysfunction, which can distort non-CA19-9 biomarkers. Overall pattern favors non-cancer.</t>
  </si>
  <si>
    <t>CA19-9 is low/within typical non-cancer range (18.23, below the common ~37 U/mL cutoff), and there is no biomarker pattern strongly suggestive of pancreatic malignancy; creatinine is normal, reducing concern for CA19-9 distortion from renal impairment. Overall profile is more consistent with non-cancer.</t>
  </si>
  <si>
    <t>CA19-9 is markedly elevated (641), a level strongly suggestive of pancreatic malignancy in the absence of obvious confounders; age (64) increases baseline risk. Supporting protein biomarkers (notably very high TFF1 and elevated LYVE1/REG1B patterns) are consistent with a cancer-associated signature rather than benign disease, and creatinine is normal so renal impairment is unlikely to explain the CA19-9 elevation.</t>
  </si>
  <si>
    <t>CA19-9 is low/normal (10), which argues against pancreatic cancer. At age 38 the baseline risk is lower. While REG1B/TFF1 are elevated, these markers can rise with benign pancreatic/inflammatory conditions; without an accompanying CA19-9 rise, the overall pattern is more consistent with non-malignant disease. Creatinine is mildly elevated but is not a specific cancer indicator.</t>
  </si>
  <si>
    <t>CA19-9 is extremely elevated (1475), which is highly suggestive of pancreatic malignancy in the appropriate clinical context. Additional pancreatic-associated protein markers (REG1A, REG1B, TFF1, LYVE1) are also markedly elevated, reinforcing a cancer signal rather than benign disease. Low creatinine does not explain the CA19-9 elevation.</t>
  </si>
  <si>
    <t>CA19-9 is markedly elevated (328), which is strongly suggestive of pancreatic malignancy in this evaluation context. The additional pancreatic-associated protein biomarkers (LYVE1, REG1B, TFF1, REG1A) are also substantially elevated, a pattern consistent with pancreatic cancer rather than normal/benign findings. Creatinine is not severely abnormal, making a false CA19-9 elevation from renal dysfunction less likely.</t>
  </si>
  <si>
    <t>CA19-9 is markedly elevated (182), which is strongly suggestive of pancreatic malignancy in this evaluation context. Supporting biomarker pattern shows high REG1B and elevated TFF1/REG1A, consistent with pancreatic pathology rather than a benign baseline; creatinine is low and does not explain CA19-9 elevation.</t>
  </si>
  <si>
    <t>CA19-9 is low/normal (20), which argues against pancreatic cancer. The markedly elevated creatinine suggests significant renal dysfunction, which can distort biomarker handling and cause nonspecific abnormalities. Although REG1A/REG1B and TFF1 appear elevated, this pattern is more consistent with pancreatic inflammation/benign disease than cancer in the absence of a CA19-9 rise.</t>
  </si>
  <si>
    <t>CA19-9 is low/normal (11), which argues against pancreatic cancer. Creatinine is normal, reducing concern for false biomarker elevations from renal dysfunction. The panel markers (LYVE1, REG1B, TFF1, REG1A) do not show a pattern strongly suggestive of malignancy in the absence of CA19-9 elevation, so overall cancer is unlikely.</t>
  </si>
  <si>
    <t>CA19-9 is low/within typical non-cancer range (22), which argues against pancreatic cancer. The other markers (LYVE1, REG1B, TFF1, REG1A) do not show a pattern strongly suggestive of malignancy in the absence of CA19-9 elevation, and creatinine is not elevated to explain a false CA19-9 increase. Overall biomarker profile favors no pancreatic cancer.</t>
  </si>
  <si>
    <t>CA19-9 is only mildly elevated (62) and can rise with benign biliary/inflammatory conditions; creatinine is normal, reducing concern for false elevation effects. While REG1B/REG1A and LYVE1 are elevated, the pattern lacks a clearly high CA19-9 signal typically seen in pancreatic cancer, so overall findings fit non-malignant pancreatic/inflammatory change more than cancer.</t>
  </si>
  <si>
    <t>CA19-9 is very low (5.8), which argues strongly against pancreatic cancer. While creatinine is markedly elevated (possible renal dysfunction that can confound some markers), there is no accompanying CA19-9 rise, and the listed protein biomarkers do not show a pattern strongly suggestive of pancreatic malignancy. Overall biomarker profile is more consistent with no pancreatic cancer.</t>
  </si>
  <si>
    <t>CA19-9 is extremely elevated (1624), far above typical benign ranges and strongly suggestive of pancreatic malignancy. Additional tumor-associated markers (REG1B/REG1A, TFF1, LYVE1) are also markedly elevated, supporting a cancer signature rather than non-malignant pancreatic disease.</t>
  </si>
  <si>
    <t>CA19-9 is low/near-normal (30), which argues against pancreatic cancer. The additional markers (LYVE1, REG1B, TFF1, REG1A) show no clear high-risk pattern suggestive of malignancy in this context, and there is no strong biomarker elevation pointing to pancreatic cancer.</t>
  </si>
  <si>
    <t>CA19-9 is extremely elevated (1503), far above typical benign ranges and strongly suggestive of pancreatic malignancy in an older patient. Creatinine is normal, reducing the likelihood of spurious CA19-9 elevation from renal impairment. Additional pancreatic-associated protein markers are also elevated, supporting a cancer pattern rather than a non-malignant condition.</t>
  </si>
  <si>
    <t>CA19-9 is markedly elevated (147), which is strongly suspicious for pancreatic malignancy in this age group. The accompanying panel markers (notably very high TFF1 with elevated REG1A/REG1B and LYVE1) fit a cancer-associated biomarker pattern rather than a normal profile, and low creatinine does not explain the CA19-9 rise.</t>
  </si>
  <si>
    <t>CA19-9 is markedly elevated (600), which is strongly suggestive of pancreatic malignancy in this clinical context. The accompanying biomarker pattern (very high REG1B, TFF1, and REG1A with elevated LYVE1) aligns with panels associated with pancreatic cancer rather than benign disease, and age (75) increases pre-test probability. Low creatinine does not explain the CA19-9 elevation.</t>
  </si>
  <si>
    <t>CA19-9 is very low (5), which is strongly against pancreatic cancer in the absence of other clear malignant signals. The other biomarkers (LYVE1, REG1B, TFF1, REG1A) do not show a pattern strongly suggestive of pancreatic cancer here, and elevated creatinine can reflect renal dysfunction rather than malignancy. Overall profile favors no pancreatic cancer.</t>
  </si>
  <si>
    <t>CA19-9 is very low (3.53), which is not suggestive of pancreatic cancer. Other markers (LYVE1, REG1A/REG1B, TFF1) do not show a pattern strongly indicative of malignancy in the absence of CA19-9 elevation, and creatinine is normal, reducing concern for confounding renal impairment. Overall profile fits non-cancer more than cancer.</t>
  </si>
  <si>
    <t>CA19-9 is low/near-normal (30), which argues against pancreatic cancer. Although age is high and creatinine is elevated (which can confound marker interpretation), the pancreatic cancer–associated protein panel does not show a strong malignant pattern: LYVE1 is not markedly suppressed and TFF1 is low, with REG1A/REG1B elevations more consistent with benign pancreatic/inflammatory changes rather than a clear cancer signature.</t>
  </si>
  <si>
    <t>CA19-9 is extremely elevated (31,000), far above typical benign ranges and strongly suggestive of pancreatic malignancy in this clinical context. Supporting biomarkers (LYVE1, REG1B/REG1A, TFF1) are also markedly high, consistent with a pancreatic cancer signature rather than non-malignant disease; creatinine is not elevated enough to explain a false CA19-9 rise.</t>
  </si>
  <si>
    <t>CA19-9 is extremely low (0.6), which is strongly against pancreatic cancer in the absence of other corroborating signs. Creatinine is normal, reducing concern for biomarker distortion from renal dysfunction. The listed protein markers (LYVE1, REG1A/REG1B, TFF1) do not show a pattern suggestive of a high-risk pancreatic cancer profile here, so overall findings favor no cancer.</t>
  </si>
  <si>
    <t>CA19-9 is markedly elevated (601), which is strongly suggestive of pancreatic malignancy in the absence of significant renal impairment (creatinine ~0.86). The accompanying biomarker pattern (notably very high TFF1 with elevated REG1B/REG1A/LYVE1) is consistent with a pancreatic cancer signature rather than a benign state.</t>
  </si>
  <si>
    <t>CA19-9 is extremely elevated (5855), far above typical benign ranges and strongly suggestive of pancreatic malignancy. The accompanying panel markers (notably very high REG1B and elevated TFF1/REG1A) are consistent with pancreatic cancer-associated patterns. Although creatinine is markedly elevated (renal dysfunction can raise CA19-9), the CA19-9 level is so high that cancer remains highly likely.</t>
  </si>
  <si>
    <t>CA19-9 is markedly elevated (~272), which is strongly suspicious for pancreatic malignancy in the right clinical context. The accompanying panel (notably very high TFF1 and elevated REG1B/REG1A with LYVE1 present) is consistent with biomarker patterns often seen in pancreatic cancer rather than normal controls. Although creatinine is very high (which can confound CA19-9), the degree of elevation and multi-marker signal supports cancer likelihood.</t>
  </si>
  <si>
    <t>CA19-9 is markedly elevated (291), which is strongly suggestive of pancreatic malignancy in the appropriate clinical context. Additional pancreatic cancer–associated protein markers (notably very high REG1B and elevated LYVE1/TFF1 patterns) support a cancer signal rather than benign disease. Although creatinine is high (possible renal impairment can increase CA19-9), the degree of CA19-9 elevation plus the multi-marker profile still makes pancreatic cancer likely.</t>
  </si>
  <si>
    <t>CA19-9 is markedly elevated (167.5; typically &gt;37 is abnormal and &gt;100 increases suspicion for pancreatic malignancy). In an 80-year-old, this level combined with elevated cancer-associated protein markers (notably very high TFF1 and elevated REG1B/REG1A) supports pancreatic cancer over benign causes; creatinine is normal, reducing concern for renal-related marker distortion.</t>
  </si>
  <si>
    <t>CA19-9 is very low (6.9), which argues strongly against pancreatic cancer. While REG1B/REG1A and TFF1 are elevated, these can rise with benign pancreatic/inflammatory conditions and are less specific. Markedly elevated creatinine suggests significant renal dysfunction, which can confound biomarker levels. Overall pattern favors no pancreatic cancer.</t>
  </si>
  <si>
    <t>CA19-9 is clearly elevated (114.8, above typical cutoff ~37), supporting pancreatic malignancy risk. REG1B and TFF1 are also elevated, consistent with pancreatic tumor-associated/ductal injury markers. Although creatinine is high (140) which can contribute to CA19-9 elevation, the combination of multiple elevated pancreatic biomarkers makes cancer more likely than benign causes.</t>
  </si>
  <si>
    <t>CA19-9 is markedly elevated (422), strongly suggestive of pancreatic malignancy in this context. Additional tumor-associated protein markers (LYVE1, REG1B, TFF1) are elevated, reinforcing a cancer pattern rather than benign disease; creatinine is not elevated enough to explain CA19-9 by renal impairment.</t>
  </si>
  <si>
    <t>CA19-9 is 30 (within/near normal range and not suggestive of pancreatic cancer). LYVE1 is very low and REG1B is only mildly elevated, while REG1A is 0; this pattern is not strongly consistent with the elevated multi-marker signatures typically seen in pancreatic cancer. Overall biomarker profile supports no cancer detected.</t>
  </si>
  <si>
    <t>CA19-9 is extremely elevated (11740), far above typical benign or pancreatitis ranges and highly suggestive of pancreatic malignancy; creatinine is normal so this is unlikely to be a renal clearance artifact. Additional tumor-associated proteins (LYVE1/REG1B/TFF1) are also elevated, further supporting pancreatic cancer.</t>
  </si>
  <si>
    <t>CA19-9 is very low (6.71), which argues strongly against pancreatic cancer. LYVE1 is also very low and does not suggest malignancy. Although REG1B and TFF1 appear elevated, these markers can rise with benign pancreatic/inflammatory conditions and are less specific without a concurrent CA19-9 increase; overall biomarker pattern is more consistent with no cancer.</t>
  </si>
  <si>
    <t>CA19-9 is extremely elevated (1621), which is highly suggestive of pancreatic malignancy in the right clinical context. Although creatinine is very high (renal dysfunction can raise CA19-9), the magnitude of elevation plus supportive cancer-associated protein marker pattern (elevated LYVE1/REG1B and abnormal TFF1) makes pancreatic cancer more likely than a benign cause alone.</t>
  </si>
  <si>
    <t>CA19-9 is markedly elevated (538), far above typical benign ranges and strongly suggestive of pancreatic malignancy. Additional pancreatic cancer–associated protein markers (notably very high TFF1 and elevated REG1B/LYVE1) further support a cancer profile rather than non-malignant disease; creatinine is normal so renal impairment is unlikely to explain the CA19-9 elevation.</t>
  </si>
  <si>
    <t>CA19-9 is very low (6.9), which argues strongly against pancreatic cancer. Creatinine is normal, reducing concern for false CA19-9 elevation/renal confounding. The other markers (LYVE1, REG1B, TFF1, REG1A) do not show a pattern suggestive of malignancy in the setting of a normal CA19-9.</t>
  </si>
  <si>
    <t>CA19-9 is within the normal/near-normal range (~31) and creatinine is normal, reducing concern for spurious CA19-9 elevation. While REG1B/TFF1/LYVE1 are present, there is no strong CA19-9 elevation to support pancreatic cancer; overall biomarker pattern is more consistent with no malignancy.</t>
  </si>
  <si>
    <t>CA19-9 is markedly elevated (468), which strongly raises suspicion for pancreatic malignancy. The panel proteins (notably very high TFF1 and elevated REG family markers) are also consistent with a cancer-associated secretory pattern. Although creatinine is very high and renal dysfunction can inflate CA19-9 (reducing specificity), the degree of CA19-9 elevation plus the multi-marker pattern still favors pancreatic cancer over benign causes in this record.</t>
  </si>
  <si>
    <t>CA19-9 is only mildly elevated (66) and can rise with benign biliary/pancreatic inflammation; creatinine is normal, reducing concern for renal-related marker distortion. The additional biomarkers (LYVE1, REG1A/REG1B, TFF1) do not show a clearly extreme malignant pattern in this context, so overall findings fit better with a non-cancer process than definite pancreatic cancer.</t>
  </si>
  <si>
    <t>CA19-9 is only mildly elevated (50) and not in the typically higher ranges often seen with pancreatic cancer; creatinine is normal (less likely false CA19-9 elevation from renal impairment). The protein marker pattern shows very high REG1A with elevated REG1B/TFF1, which can be seen in benign pancreatic/inflammatory conditions and is not a strong cancer-specific signature here. Overall profile favors non-malignant pancreatic disease over pancreatic cancer.</t>
  </si>
  <si>
    <t>CA19-9 is low/within typical non-cancer range (22), not suggestive of pancreatic malignancy. Creatinine is normal, reducing concern for biomarker distortion from renal dysfunction. The provided protein markers (LYVE1/REG1B/TFF1/REG1A) do not show a clear cancer-indicative pattern here, so overall findings favor no pancreatic cancer.</t>
  </si>
  <si>
    <t>CA19-9 is extremely elevated (1098; far above typical benign ranges), which strongly suggests pancreatic malignancy in the appropriate clinical context. The accompanying biomarker panel (notably very high TFF1 and elevated REG1B/REG1A) is also consistent with pancreatic cancer-associated signatures. Mildly elevated creatinine could affect CA19-9 somewhat but is unlikely to account for such a marked elevation.</t>
  </si>
  <si>
    <t>CA19-9 is only mildly elevated (43) and can be increased from benign biliary/inflammatory conditions, especially in older adults. The other biomarkers (LYVE1, REG1A/REG1B, TFF1) do not show a pattern strongly suggestive of pancreatic cancer in this record, and there are no additional clinical features indicating malignancy.</t>
  </si>
  <si>
    <t>Plasma CA19-9 is low/normal (16.2), which argues against pancreatic cancer. While creatinine is elevated (could affect some lab values and reflects comorbidity), the cancer-associated marker pattern is not convincing: LYVE1 is not markedly high and the REG1B/TFF1/REG1A elevations can be seen with benign pancreatic/inflammatory conditions rather than cancer when CA19-9 is not elevated. Overall biomarker profile favors no pancreatic cancer.</t>
  </si>
  <si>
    <t>CA19-9 is markedly elevated (155; above typical 37 cutoff), and the pancreatic-associated protein panel shows very high REG1B and TFF1 with elevated LYVE1, a pattern more consistent with pancreatic malignancy than benign disease; creatinine is normal, reducing likelihood of false CA19-9 elevation from renal dysfunction.</t>
  </si>
  <si>
    <t>CA19-9 is low/normal (12.84), which argues strongly against pancreatic cancer. The patient is relatively young (40), further lowering pretest likelihood. While REG1B/TFF1/LYVE1 are present, without an elevated CA19-9 or other high-risk clinical context these values are more consistent with non-malignant pancreatic/inflammatory variation than cancer.</t>
  </si>
  <si>
    <t>CA19-9 is markedly elevated (523), which strongly supports pancreatic malignancy in the appropriate clinical context. Supporting pancreatic-cancer–associated protein markers (REG1B, REG1A, TFF1, LYVE1) are also elevated. Although creatinine is high (possible renal impairment that can raise CA19-9 somewhat), the degree of CA19-9 elevation plus the concordant biomarker pattern makes pancreatic cancer likely.</t>
  </si>
  <si>
    <t>CA19-9 is extremely elevated (1318), far above typical benign or borderline ranges and strongly associated with pancreatic malignancy. The accompanying very high pancreatic-associated protein markers (REG1A/REG1B and markedly elevated TFF1) further support pancreatic cancer rather than a non-malignant condition. Although creatinine is abnormal and can complicate biomarker interpretation, it would not usually account for CA19-9 levels this high with this overall pattern.</t>
  </si>
  <si>
    <t>CA19-9 is markedly elevated (309), which is strongly associated with pancreatic cancer in the appropriate clinical context. Creatinine is normal, making a renal-related false elevation less likely. The additional tumor-associated protein markers (notably very high TFF1 along with elevated REG1B/REG1A and LYVE1) collectively support a malignant pancreatic process rather than a benign condition.</t>
  </si>
  <si>
    <t>CA19-9 is elevated (72; above typical normal cutoff ~37), and the panel shows markedly high REG1B with elevated LYVE1 and TFF1, a biomarker pattern more consistent with pancreatic malignancy than benign disease. Creatinine is only mildly elevated and unlikely to fully explain the CA19-9 rise.</t>
  </si>
  <si>
    <t>CA19-9 is markedly elevated (158), supporting malignancy risk. TFF1 is extremely high and REG1A is elevated, a pattern consistent with pancreatic tumor-associated biomarker upregulation. Although creatinine is elevated (which can inflate CA19-9 somewhat), the combined biomarker profile still more strongly suggests pancreatic cancer than benign disease.</t>
  </si>
  <si>
    <t>CA19-9 is markedly elevated (147.7; above typical ~37 cutoff), and the pancreatic cancer–associated protein markers (LYVE1, REG1B, TFF1) are strongly elevated in a pattern consistent with malignancy rather than normal variation. Overall biomarker profile favors pancreatic cancer.</t>
  </si>
  <si>
    <t>CA19-9 is markedly elevated (216), which is strongly suggestive of pancreatic malignancy in the appropriate clinical context. The ancillary pancreatic protein markers (LYVE1/REG1B/TFF1/REG1A) appear elevated/abnormal and align with a cancer-associated biomarker pattern. Mildly increased creatinine could affect CA19-9 but is unlikely to explain this degree of elevation, supporting cancer as the more likely diagnosis.</t>
  </si>
  <si>
    <t>CA19-9 is extremely elevated (1916), far above typical benign ranges and strongly suggestive of pancreatic malignancy. Age 73 increases baseline risk, and the accompanying panel markers (notably very high REG1B and elevated LYVE1/TFF1) are consistent with a pancreatic cancer biomarker profile. Mildly elevated creatinine is unlikely to explain a CA19-9 level this high.</t>
  </si>
  <si>
    <t>CA19-9 is very high (655), strongly suggestive of pancreatic malignancy in the appropriate clinical context. Supporting protein biomarkers (notably markedly elevated TFF1, REG1B, and LYVE1) align with a pancreatic cancer-associated signature rather than benign disease. Low creatinine does not explain the CA19-9 elevation.</t>
  </si>
  <si>
    <t>CA19-9 is markedly elevated (537), far above typical non-cancer ranges, strongly suggesting pancreatic malignancy. Supporting pancreatic cancer biomarker pattern with elevated REG1B/REG1A and TFF1; creatinine is normal so CA19-9 elevation is less likely due to renal impairment.</t>
  </si>
  <si>
    <t>CA19-9 is markedly elevated (190.7), which is strongly suspicious for pancreatic malignancy in the appropriate clinical context. The accompanying panel shows very high TFF1 and elevated REG1B/REG1A with high LYVE1, a biomarker pattern more consistent with pancreatic cancer than benign disease. Creatinine is not high enough to plausibly explain CA19-9 elevation via severe renal impairment.</t>
  </si>
  <si>
    <t>CA19-9 is elevated (120), which is suspicious for pancreatic malignancy in this age group. The biomarker panel shows markedly high REG1B/TFF1 (and elevated LYVE1), a pattern more consistent with pancreatic cancer than benign disease. Although creatinine is very high (renal dysfunction can inflate CA19-9 and cause false positives), the combined multi-marker elevations still favor cancer.</t>
  </si>
  <si>
    <t>CA19-9 is low/within typical non-cancer range (21), which argues against pancreatic cancer. Although creatinine is markedly elevated (suggesting renal dysfunction that can confound labs), there is no CA19-9 elevation to support malignancy, and the other listed protein markers do not show a clear cancer-indicative pattern on their own. Overall profile is more consistent with non-cancer.</t>
  </si>
  <si>
    <t>CA19-9 is extremely elevated (1471), which is highly suggestive of pancreatic malignancy in the appropriate clinical context. The accompanying biomarker pattern (notably very high TFF1 and elevated REG1B/REG1A) is also consistent with pancreatic cancer-associated changes rather than a benign state.</t>
  </si>
  <si>
    <t>CA19-9 is very low (6.0), which is not suggestive of pancreatic cancer, and there is no biomarker pattern here indicating strong malignancy signal; young age (37) also lowers pre-test probability. Overall profile fits non-cancer more than cancer.</t>
  </si>
  <si>
    <t>CA19-9 is very low (2.0), which argues strongly against pancreatic cancer in the absence of other high-risk signals. Age is relatively young (44). Creatinine is normal, reducing concern for biomarker distortion from renal dysfunction. Although REG1A/REG1B/LYVE1/TFF1 are present, their values are not accompanied by a markedly elevated CA19-9 pattern typical for many pancreatic cancers, so overall profile is more consistent with no pancreatic cancer.</t>
  </si>
  <si>
    <t>CA19-9 is within a typical non-elevated range (26), which argues against pancreatic cancer. Age is young (38), lowering baseline risk. Although creatinine is markedly elevated (renal dysfunction can confound some labs), the tumor marker panel does not show a clear cancer-like pattern (LYVE1 very low; REG1A/REG1B and TFF1 not convincingly suggestive without CA19-9 elevation). Overall profile fits non-cancer more than cancer.</t>
  </si>
  <si>
    <t>CA19-9 is extremely low (1.0), which strongly argues against pancreatic adenocarcinoma. Although some other proteins are elevated, the very high creatinine suggests significant renal dysfunction that can nonspecifically alter circulating biomarker levels. Overall pattern is more consistent with non-cancer/renal confounding than pancreatic cancer.</t>
  </si>
  <si>
    <t>CA19-9 is low/within normal range (~18), which argues strongly against pancreatic cancer in most cases. Creatinine is normal, reducing concern for biomarker distortion from renal dysfunction. The additional markers (LYVE1, REG1B, TFF1, REG1A) do not show a clearly cancer-typical pattern here, so overall the profile is more consistent with no pancreatic cancer.</t>
  </si>
  <si>
    <t>CA19-9 is markedly elevated (641), which is strongly suggestive of pancreatic malignancy in the appropriate clinical context. Age (64) increases baseline risk, and the accompanying pancreatic biomarker pattern (notably high TFF1 with elevated REG1B/REG1A and LYVE1) is more consistent with pancreatic cancer-associated changes than with a normal profile. Normal creatinine makes a lab artifact/renal retention less likely.</t>
  </si>
  <si>
    <t>CA19-9 is low/normal (10), which argues strongly against pancreatic cancer. At age 38, baseline risk is lower. While REG1B and TFF1 are elevated, these markers can rise with benign pancreatic/inflammatory conditions and are not specific enough to outweigh a clearly normal CA19-9 in this context; creatinine is mildly elevated but not cancer-specific.</t>
  </si>
  <si>
    <t>CA19-9 is extremely elevated (1475), far above typical benign ranges and strongly suggestive of pancreatic malignancy in this clinical context. Additional tumor-associated markers (notably very high TFF1 and elevated REG1A/REG1B) support a cancer signature. Low creatinine makes renal retention less likely as an explanation for the marked CA19-9 elevation.</t>
  </si>
  <si>
    <t>CA19-9 is markedly elevated (328), which is strongly suggestive of pancreatic malignancy in this clinical evaluation context. Additional pancreatic cancer–associated protein biomarkers (LYVE1, REG1B/REG1A, TFF1) are also high, reinforcing a cancer pattern rather than benign disease. Creatinine is not severely elevated, making false CA19-9 elevation from renal impairment less likely.</t>
  </si>
  <si>
    <t>CA19-9 is markedly elevated (182), which is strongly suggestive of pancreatic malignancy in this evaluation context. Age 73 increases baseline risk, and the accompanying panel (notably elevated REG1B/REG1A and TFF1) is more consistent with a malignant pancreatic process than a benign state. Low creatinine does not explain the CA19-9 elevation.</t>
  </si>
  <si>
    <t>CA19-9 is low/normal (20), which argues against pancreatic cancer. Although creatinine is markedly elevated (possible renal dysfunction) and some pancreatic-associated proteins (REG1B/TFF1/REG1A) are elevated, these markers can rise with pancreatitis/inflammation or impaired clearance and are less specific than CA19-9. Overall pattern favors non-malignant causes over pancreatic cancer.</t>
  </si>
  <si>
    <t>CA19-9 is low/normal (11), which argues strongly against pancreatic cancer in this setting. Creatinine is normal, reducing concern for biomarker distortion from renal dysfunction. The additional protein markers (LYVE1, REG1B, TFF1, REG1A) do not show a pattern strongly suggestive of malignancy compared with the typically elevated CA19-9 seen in many pancreatic cancers.</t>
  </si>
  <si>
    <t>CA19-9 is low/within normal range (22), which argues against pancreatic cancer. The other biomarkers (LYVE1, REG1B, TFF1, REG1A) do not show a pattern strongly suggestive of malignancy in the absence of an elevated CA19-9, and there are no additional clinical red flags provided. Overall profile is more consistent with no pancreatic cancer.</t>
  </si>
  <si>
    <t>CA19-9 is elevated (62, above typical normal &lt;37), and multiple pancreatic disease–associated protein biomarkers (LYVE1, REG1B, REG1A, TFF1) are markedly high, a pattern more consistent with pancreatic malignancy than a benign state. Low creatinine does not explain these elevations.</t>
  </si>
  <si>
    <t>CA19-9 is very low (5.8), which argues strongly against pancreatic cancer in this context. Although creatinine is markedly elevated (renal dysfunction can affect labs and clinical status), there is no corresponding CA19-9 elevation or clear malignant biomarker pattern here; overall profile is more consistent with non-cancer.</t>
  </si>
  <si>
    <t>CA19-9 is extremely elevated (1624), far above typical benign ranges and strongly associated with pancreatic adenocarcinoma when markedly high. The accompanying biomarker pattern (very high TFF1 with elevated REG1B/REG1A and LYVE1) is consistent with a malignancy-associated signature rather than normal/benign disease. No clear confounder suggesting isolated false-positive CA19-9 is provided.</t>
  </si>
  <si>
    <t>CA19-9 is low/within normal range (~30), which argues against pancreatic cancer. While REG1B/TFF1/REG1A are elevated, these markers can rise with benign pancreatic/inflammatory conditions and are not specific without a clearly elevated CA19-9. Overall pattern is more consistent with non-malignant disease than pancreatic cancer.</t>
  </si>
  <si>
    <t>CA19-9 is extremely elevated (1503), far above levels typically seen in benign conditions, and the adjunct biomarker pattern (elevated LYVE1/REG1B/TFF1 and high REG1A) is consistent with a pancreatic cancer signature. Creatinine is normal, reducing the likelihood of a false CA19-9 elevation from renal impairment; advanced age further increases baseline risk.</t>
  </si>
  <si>
    <t>CA19-9 is markedly elevated (147; above common clinical cutoffs ~37), which is a strong signal for pancreatic malignancy in the right context. The additional panel markers (LYVE1/REG1A/REG1B/TFF1) are not clearly low and do not contradict malignancy, and creatinine is low-normal so renal retention is unlikely to explain the CA19-9 rise. Overall pattern favors pancreatic cancer over benign disease.</t>
  </si>
  <si>
    <t>CA19-9 is markedly elevated (600), strongly suggestive of pancreatic malignancy in this context. The additional biomarker panel shows pronounced elevations (LYVE1, REG1B, TFF1, REG1A), a pattern consistent with pancreatic cancer rather than normal variation. Low creatinine reduces concern that CA19-9 elevation is due to renal impairment.</t>
  </si>
  <si>
    <t>CA19-9 is very low (5.0), which strongly argues against pancreatic cancer in this evaluation context. The additional biomarkers (LYVE1, REG1B, TFF1, REG1A) do not show a clear high-risk pattern sufficient to outweigh the negative CA19-9. Mildly elevated creatinine suggests renal impairment but does not specifically indicate pancreatic malignancy.</t>
  </si>
  <si>
    <t>CA19-9 is very low (3.53), which is not supportive of pancreatic cancer. Other markers (LYVE1, REG1A/REG1B, TFF1) do not show a pattern typical of malignancy in the absence of an elevated CA19-9, and there are no clinical red flags provided; overall profile is more consistent with non-cancer.</t>
  </si>
  <si>
    <t>CA19-9 is within the normal range (~30), which argues against pancreatic cancer. The other markers (LYVE1, REG1A/REG1B, TFF1) do not show a clear malignant pattern here and can be influenced by benign pancreatic/inflammatory conditions. Mildly elevated creatinine could affect biomarker handling but would more often raise CA19-9; it is not elevated. Overall profile favors no cancer.</t>
  </si>
  <si>
    <t>CA19-9 is extremely elevated (31,000), far above typical benign or inflammatory ranges and highly suggestive of pancreatic malignancy in this age group. Supporting biomarker pattern shows markedly high TFF1 and REG1B with elevated LYVE1/REG1A, consistent with a cancer-associated signature rather than isolated renal effect (creatinine not elevated).</t>
  </si>
  <si>
    <t>CA19-9 is extremely low (0.6), which strongly argues against pancreatic cancer. The other listed biomarkers (LYVE1, REG1B/REG1A, TFF1) do not show a clearly cancer-typical pattern in the absence of an elevated CA19-9, and creatinine is normal, reducing concern for confounding from renal dysfunction.</t>
  </si>
  <si>
    <t>CA19-9 is markedly elevated (601), a strong indicator for pancreatic malignancy in the appropriate clinical context. Additional pancreatic-cancer–associated protein markers (elevated REG1B/REG1A and very high TFF1) further support a cancer pattern rather than benign disease. Kidney function (creatinine ~0.86) is normal, making a false CA19-9 elevation from renal impairment less likely.</t>
  </si>
  <si>
    <t>CA19-9 is extremely elevated (5855), which is highly suggestive of pancreatic malignancy in the appropriate clinical context. Additional pancreatic-associated biomarkers (REG1B, REG1A, TFF1) are also markedly elevated, reinforcing a cancer pattern. Elevated creatinine could affect marker clearance but is unlikely to explain CA19-9 and the concurrent strong biomarker signature at this magnitude.</t>
  </si>
  <si>
    <t>CA19-9 is markedly elevated (271.7), which is strongly suggestive of pancreatic malignancy in the appropriate clinical context. Although creatinine is very high (242) and can artifactually raise CA19-9 due to impaired clearance, the accompanying panel shows very high LYVE1, REG1B, and especially TFF1, a pattern more consistent with pancreatic cancer-associated biomarker elevation than renal dysfunction alone.</t>
  </si>
  <si>
    <t>CA19-9 is markedly elevated (291), which is strongly suggestive of pancreatic malignancy in the appropriate clinical context. Supporting pancreatic cancer biomarker pattern is present with high REG1B and TFF1, and elevated LYVE1. Although creatinine is elevated (which can mildly confound CA19-9), the CA19-9 level is high enough and the multi-marker profile is consistent with pancreatic cancer.</t>
  </si>
  <si>
    <t>CA19-9 is markedly elevated (167.5; above the common 37 U/mL threshold), which strongly supports pancreatic malignancy in the right context. Age 80 increases baseline risk. Creatinine is normal, making a false CA19-9 elevation from renal dysfunction less likely. The accompanying protein markers (elevated REG1B/REG1A and very high TFF1) are consistent with pancreatic pathology and collectively increase the likelihood of pancreatic cancer rather than a benign condition.</t>
  </si>
  <si>
    <t>CA19-9 is very low (6.9), which is not suggestive of pancreatic cancer. While creatinine is markedly elevated (possible renal impairment) and some pancreatic-associated proteins (e.g., REG1B/TFF1/LYVE1) are present, the absence of CA19-9 elevation makes malignancy less likely and the protein changes could reflect non-malignant pancreatic/inflammatory or renal-related effects.</t>
  </si>
  <si>
    <t>CA19-9 is clearly elevated (114.8; above typical benign range), and multiple pancreatic-associated protein markers (LYVE1, REG1B, TFF1) are concurrently high, which together increases likelihood of pancreatic malignancy rather than an isolated false-positive CA19-9. Elevated creatinine could contribute to biomarker elevation but is unlikely to explain the combined multi-marker pattern.</t>
  </si>
  <si>
    <t>CA19-9 is markedly elevated (422), which is strongly suggestive of pancreatic malignancy in this evaluation context. The accompanying biomarker pattern (very high TFF1, REG1B and elevated LYVE1) is consistent with pancreatic cancer-associated signatures rather than normal/benign ranges.</t>
  </si>
  <si>
    <t>CA19-9 is low/near-normal (30), which argues against pancreatic cancer. REG1B is only mildly elevated and LYVE1 is very low; the overall biomarker pattern does not show the typical strong elevations seen in pancreatic cancer. No additional clinical red flags are provided.</t>
  </si>
  <si>
    <t>CA19-9 is extremely elevated (11740), far above levels typically seen in benign conditions; renal function is normal so this is unlikely to be an artifact of impaired clearance. The accompanying biomarker pattern (notably elevated REG1B and TFF1) is consistent with pancreatic malignancy-associated signatures in evaluated panels.</t>
  </si>
  <si>
    <t>CA19-9 is very low (6.71), which argues strongly against pancreatic cancer in most cases. LYVE1 is also very low, and the overall pattern does not show the typical combined elevation of CA19-9 with other cancer-associated markers. Although REG1B and TFF1 appear high, in the context of a normal/low CA19-9 this is more consistent with non-malignant pancreatic/inflammatory or assay/format effects than cancer.</t>
  </si>
  <si>
    <t>CA19-9 is extremely elevated (1621), far above typical benign ranges and strongly suggestive of pancreatic malignancy in this evaluation context. Additional pancreatic disease markers (REG1A/REG1B, TFF1, LYVE1) are also markedly abnormal, supporting a cancer-associated biomarker pattern. Although creatinine is very high and renal dysfunction can raise CA19-9, the magnitude of elevation plus the concordant biomarker profile makes pancreatic cancer very likely.</t>
  </si>
  <si>
    <t>CA19-9 is markedly elevated (538), strongly suggestive of pancreatic malignancy in the absence of severe renal dysfunction (creatinine normal). Additional protein biomarkers (notably very high TFF1 with elevated REG1B/LYVE1) align with a cancer-associated signature rather than benign pancreatic disease.</t>
  </si>
  <si>
    <t>CA19-9 is very low (6.9; not suggestive of pancreatic cancer). Creatinine is normal, reducing concern for marker distortion from renal dysfunction. The additional biomarkers (LYVE1, REG1B, TFF1) do not show a strongly cancer-indicative pattern here, so overall findings fit non-cancer more than pancreatic malignancy.</t>
  </si>
  <si>
    <t>CA19-9 is within/near the normal range (~&lt;37 U/mL), which argues against pancreatic cancer. Creatinine is normal, reducing concern for CA19-9 distortion from renal dysfunction. While LYVE1/REG1B/TFF1 are present, the overall pattern lacks a strong malignancy signal given the non-elevated CA19-9 and no other high-risk clinical indicators provided.</t>
  </si>
  <si>
    <t>CA19-9 is markedly elevated (468), which is strongly suspicious for pancreatic malignancy. The combined biomarker profile (very high REG1B and TFF1 with elevated LYVE1/REG1A) is consistent with a pancreatic cancer signature rather than normal/benign ranges. Although young age and significantly elevated creatinine could contribute to CA19-9 elevation, the multi-marker elevation supports cancer as the more likely explanation.</t>
  </si>
  <si>
    <t>CA19-9 is elevated (66; above typical normal cutoff ~37), and the pancreatic cancer–associated marker panel shows markedly high TFF1 with elevated REG1B/REG1A, a pattern more consistent with malignancy than benign disease. Normal creatinine reduces likelihood of a false CA19-9 elevation from renal impairment.</t>
  </si>
  <si>
    <t>CA19-9 is only mildly elevated (50) and can rise with benign biliary/inflammatory conditions; creatinine is normal (not suggesting impaired clearance). The additional protein markers do not show a strongly cancer-typical pattern (notably very high CA19-9 or a clear malignant shift across LYVE1/REG1B/TFF1). Overall profile is more consistent with non-malignant pancreatic/biliary inflammation than pancreatic cancer.</t>
  </si>
  <si>
    <t>CA19-9 is low/within normal range (22), which argues against pancreatic cancer. Creatinine is normal, reducing concern for falsely elevated CA19-9 due to renal impairment. The other protein biomarkers (LYVE1/REG1B/TFF1/REG1A) do not show a clear cancer-associated pattern here to outweigh the low CA19-9, so cancer is unlikely.</t>
  </si>
  <si>
    <t>CA19-9 is extremely elevated (1098), far above typical benign or cholestatic-range values and strongly suggestive of pancreatic malignancy in this context. The additional biomarker panel (notably very high TFF1 with elevated REG1B/REG1A and LYVE1) is consistent with a pancreatic cancer signature rather than normal findings. Creatinine is only mildly elevated and does not explain the marked CA19-9 increase.</t>
  </si>
  <si>
    <t>CA19-9 is only mildly elevated (43) and can be nonspecific, especially in older patients; creatinine is low/normal and does not suggest renal-related marker distortion. The additional markers (LYVE1, REG1A/REG1B, TFF1) are not markedly elevated in a pattern strongly suggestive of pancreatic cancer. Overall profile fits better with non-malignant or borderline findings than clear pancreatic cancer.</t>
  </si>
  <si>
    <t>CA19-9 is low/within normal range (16.2), which argues against pancreatic cancer. Although some other proteins (e.g., TFF1/REG1B) are markedly elevated, these can rise with benign pancreatic/inflammatory or renal-related conditions; the very high creatinine (193) suggests significant renal impairment that can distort biomarker levels. Overall, the strongest cancer-associated marker here (CA19-9) is not elevated, making cancer less likely.</t>
  </si>
  <si>
    <t>CA19-9 is markedly elevated (155), which is strongly suspicious for pancreatic malignancy in the right clinical context. The accompanying biomarker pattern (elevated LYVE1/REG1B/TFF1 with relatively low REG1A) is more consistent with a pancreatic cancer signature than benign disease, and normal creatinine reduces concern that renal impairment is falsely elevating CA19-9.</t>
  </si>
  <si>
    <t>CA19-9 is low/within normal range (12.84), which argues strongly against pancreatic cancer. Patient is relatively young (40). The additional markers (LYVE1/REG1B/TFF1/REG1A) do not show a pattern here that would outweigh a normal CA19-9, and there is no creatinine-related concern suggesting a false elevation. Overall profile is more consistent with no pancreatic cancer.</t>
  </si>
  <si>
    <t>CA19-9 is markedly elevated (523), which is strongly suggestive of pancreatic malignancy in the appropriate setting. The additional pancreatic-associated markers (REG1B, REG1A, TFF1, LYVE1) are also elevated, supporting a pancreatic cancer signal rather than an isolated benign fluctuation. Although creatinine is high (possible renal impairment that can contribute to higher CA19-9), the magnitude of CA19-9 elevation plus the multi-marker pattern makes pancreatic cancer likely.</t>
  </si>
  <si>
    <t>CA19-9 is extremely elevated (1318), far above levels typically seen in benign conditions, strongly suggesting pancreatic malignancy. Supporting biomarkers associated with pancreatic cancer/pancreatic injury are also markedly abnormal (very high TFF1, REG1A, REG1B). Although creatinine is elevated and can contribute to CA19-9 increases, the magnitude of CA19-9 and the concordant elevation of multiple pancreatic markers make pancreatic cancer highly likely.</t>
  </si>
  <si>
    <t>CA19-9 is markedly elevated (309), well above common clinical cutoffs (~37) and in a range frequently associated with pancreatic malignancy. Age (64) adds baseline risk. The additional protein biomarkers (elevated LYVE1/REG1B/TFF1) are consistent with a pancreatic cancer biomarker signature rather than a benign profile. Overall pattern strongly favors pancreatic cancer.</t>
  </si>
  <si>
    <t>CA19-9 is elevated (72; above typical normal cutoff ~37), which raises suspicion for pancreatic malignancy in an older patient. The accompanying panel (notably higher REG1B and TFF1 with supportive LYVE1 signal) is more consistent with a cancer-associated biomarker pattern than with a clearly benign profile. Creatinine is not markedly abnormal, reducing likelihood that CA19-9 is falsely elevated from severe renal impairment.</t>
  </si>
  <si>
    <t>CA19-9 is markedly elevated (158; above typical 37 cutoff), which strongly raises suspicion for pancreatic malignancy. The panel markers (notably very high TFF1 with elevated LYVE1/REG1B) further support a cancer-associated signature. Although creatinine is high (renal dysfunction can elevate CA19-9 and confound interpretation), the combined biomarker pattern still favors pancreatic cancer.</t>
  </si>
  <si>
    <t>CA19-9 is markedly elevated (147.7; commonly above normal thresholds), and the pancreatic cancer–associated protein markers (LYVE1, REG1B, TFF1, and very high REG1A) are collectively strongly elevated, a pattern more consistent with malignancy than benign disease. Creatinine is low/normal and does not explain the CA19-9 elevation.</t>
  </si>
  <si>
    <t>CA19-9 is markedly elevated (216), which is strongly suggestive of pancreatic malignancy in the appropriate context. Additional pancreatic-associated protein markers (e.g., REG1A/REG1B, TFF1) appear elevated, supporting a cancer-associated signature. Mildly elevated creatinine could affect CA19-9 somewhat, but the degree of CA19-9 elevation and multi-marker pattern makes pancreatic cancer likely.</t>
  </si>
  <si>
    <t>CA19-9 is extremely elevated (1916), far above typical benign ranges and strongly suggestive of pancreatic malignancy in this clinical context. The accompanying biomarker profile (very high REG1B and markedly elevated TFF1/LYVE1) is consistent with pancreatic cancer-associated signatures rather than non-malignant disease; mild renal impairment (creatinine 131) is unlikely to explain a CA19-9 this high.</t>
  </si>
  <si>
    <t>CA19-9 is markedly elevated (655), which is strongly suspicious for pancreatic malignancy in this context. The panel markers (notably very high TFF1 and elevated REG1B/REG1A) are consistent with pancreatic tumor-associated signatures rather than normal variation. Age 72 further increases pre-test likelihood, and creatinine is not elevated enough to explain CA19-9 rise from renal impairment.</t>
  </si>
  <si>
    <t>CA19-9 is markedly elevated (537), which strongly supports pancreatic malignancy in this evaluation context. The supportive biomarker pattern (elevations in REG1B/REG1A and TFF1) is consistent with pancreatic cancer-associated secretory/inflammatory signatures rather than isolated benign variation, and creatinine is normal so renal impairment is unlikely to explain the high CA19-9.</t>
  </si>
  <si>
    <t>CA19-9 is markedly elevated (190.7), which is strongly suspicious for pancreatic malignancy in the evaluation setting. In addition, the pancreatic cancer–associated protein markers (LYVE1, REG1B, and especially very high TFF1) are collectively elevated in a pattern more consistent with cancer than benign pancreatic disease. Mildly elevated creatinine could affect some labs but does not explain this overall biomarker profile.</t>
  </si>
  <si>
    <t>CA19-9 is clearly elevated (120), which is suspicious for pancreatic malignancy in this clinical context. The panel proteins (LYVE1, REG1B, TFF1) are also markedly high, supporting a cancer-associated biomarker pattern rather than normal. Although creatinine is very elevated (225) and renal dysfunction can inflate CA19-9, the combined multi-marker elevation still makes pancreatic cancer more likely than not.</t>
  </si>
  <si>
    <t>CA19-9 is low/within typical normal range (21), which argues against pancreatic cancer. Although creatinine is markedly elevated (renal dysfunction can alter biomarker handling), there is no CA19-9 elevation to support malignancy, and the provided protein markers (LYVE1/REG1B/TFF1/REG1A) do not show a clear cancer-indicative pattern in the absence of CA19-9 elevation. Overall profile favors non-cancer.</t>
  </si>
  <si>
    <t>CA19-9 is extremely elevated (1471), far above typical benign ranges and strongly suggestive of pancreatic malignancy in this context. Age (65) increases baseline risk, and the accompanying biomarker profile (elevated LYVE1/REG1B/TFF1) is consistent with pancreatic cancer-associated signatures rather than isolated non-malignant disease.</t>
  </si>
  <si>
    <t>CA19-9 is very low (6.0), which argues strongly against pancreatic cancer. Age is young (37) and creatinine is normal. The additional biomarkers provided do not show a clear malignant pattern sufficient to override the very low CA19-9, so overall findings are most consistent with no pancreatic cancer.</t>
  </si>
  <si>
    <t>CA19-9 is very low (2.0), which is strongly against pancreatic cancer. Age is relatively young (44). Other markers listed (LYVE1, REG1B, TFF1, REG1A) do not show a pattern that would outweigh a normal CA19-9 in this context, and creatinine is not suggestive of confounding elevation. Overall profile favors no pancreatic cancer.</t>
  </si>
  <si>
    <t>CA19-9 is within the normal/low range (26) which argues against pancreatic cancer. The patient is young (38), lowering pre-test probability. Although creatinine is markedly elevated (renal dysfunction can confound some labs), there is no CA19-9 elevation and the other markers provided do not show a clear malignant pattern sufficient to outweigh this.</t>
  </si>
  <si>
    <t>CA19-9 is extremely low (1.0), which argues strongly against pancreatic cancer. Although REG1B/TFF1 are elevated and creatinine is markedly high (possible renal dysfunction that can distort biomarker levels), the absence of CA19-9 elevation makes active pancreatic cancer unlikely in this profile.</t>
  </si>
  <si>
    <t>CA19-9 is low/within normal range (~18), which argues against pancreatic cancer. Creatinine is normal, reducing concern for marker distortion from renal impairment. The other biomarkers (LYVE1/REG1B/TFF1/REG1A) do not show a pattern strongly suggestive of malignancy in the absence of an elevated CA19-9, so overall cancer is unlikely.</t>
  </si>
  <si>
    <t>CA19-9 is markedly elevated (641), which strongly supports pancreatic malignancy in the absence of renal failure (creatinine normal). The accompanying biomarker pattern (notably very high TFF1 and elevated REG1B/LYVE1) is consistent with a pancreatic cancer signature rather than benign disease.</t>
  </si>
  <si>
    <t>CA19-9 is low/normal (10), which argues strongly against pancreatic cancer. Although some adjunct markers (REG1B/TFF1/LYVE1) are elevated, in a young patient (38) this pattern is more consistent with benign pancreatic/inflammatory or renal-related effects (creatinine mildly elevated) than malignancy, especially without CA19-9 elevation.</t>
  </si>
  <si>
    <t>CA19-9 is extremely elevated (1475), a level strongly suggestive of pancreatic malignancy in the appropriate clinical context. Additional pancreatic cancer–associated protein markers (e.g., TFF1 markedly high with elevated REG1B/REG1A) further support a cancer pattern rather than benign disease; age 68 increases baseline risk.</t>
  </si>
  <si>
    <t>CA19-9 is markedly elevated (328), which is strongly suspicious for pancreatic malignancy in this clinical context. Supporting biomarker pattern shows very high REG1B and TFF1 (and elevated LYVE1), a combination commonly associated with pancreatic cancer panels. Creatinine is not severely elevated, reducing likelihood that CA19-9 is falsely high from renal impairment.</t>
  </si>
  <si>
    <t>CA19-9 is markedly elevated (182), which is strongly suggestive of pancreatic malignancy in this setting. The additional pancreatic biomarker panel shows substantially elevated REG1B and REG1A with elevated TFF1, a pattern more consistent with pancreatic cancer–associated marker upregulation than a benign baseline. Low creatinine does not explain the CA19-9 rise.</t>
  </si>
  <si>
    <t>CA19-9 is low/within typical non-cancer range (20), which argues against pancreatic cancer. Although REG1B and TFF1 are elevated and creatinine is markedly high (renal dysfunction can distort biomarker levels), the absence of an elevated CA19-9 and the young age make pancreatic cancer less likely overall.</t>
  </si>
  <si>
    <t>CA19-9 is low/within normal range (11), which argues strongly against pancreatic cancer in this context. Creatinine is normal, reducing concern for biomarker distortion from renal dysfunction. The additional protein markers (LYVE1, REG1B, TFF1, REG1A) do not show a pattern strongly suggestive of malignancy given the very low CA19-9, so overall cancer is unlikely.</t>
  </si>
  <si>
    <t>CA19-9 is low/within typical non-malignant range (22), which argues against pancreatic cancer. While REG1A/REG1B and LYVE1 are elevated, these markers can rise with benign pancreatic/inflammatory conditions and are not as specific as a markedly elevated CA19-9. Overall biomarker pattern favors no pancreatic cancer.</t>
  </si>
  <si>
    <t>CA19-9 is only mildly elevated (62) and can rise with benign biliary/inflammatory conditions; creatinine is low/normal (not suggesting renal-driven CA19-9 elevation). The additional markers (LYVE1, REG1B, TFF1, REG1A) do not show a pattern of strong, concordant elevation typical of pancreatic cancer, making malignancy less likely overall.</t>
  </si>
  <si>
    <t>CA19-9 is very low (5.8), which argues strongly against pancreatic cancer. While creatinine is markedly elevated (possible renal dysfunction that can affect some labs), the key pancreatic cancer marker here is not elevated, and the additional proteins (LYVE1/REG1B/TFF1/REG1A) do not show a clear high-risk pattern sufficient to override a normal CA19-9. Overall profile is more consistent with non-cancer.</t>
  </si>
  <si>
    <t>CA19-9 is extremely elevated (1624), a level strongly suggestive of pancreatic malignancy in the right clinical context. The additional pancreatic-associated protein markers (LYVE1, REG1B, TFF1) are markedly elevated, supporting a cancer signature rather than benign disease. Low creatinine does not explain the CA19-9 rise, making pancreatic cancer highly likely.</t>
  </si>
  <si>
    <t>CA19-9 is low/normal (30), which argues against pancreatic cancer. The other markers (LYVE1/REG1A/REG1B/TFF1) do not show a clear malignant pattern here and can be elevated in benign pancreatic/inflammatory conditions; overall biomarker profile is more consistent with non-cancer.</t>
  </si>
  <si>
    <t>CA19-9 is extremely elevated (1503), far above typical benign ranges and strongly suggestive of pancreatic malignancy. Age 73 increases baseline risk, and the associated biomarker panel values (LYVE1/REG1B/TFF1/REG1A) are consistent with a cancer-associated profile. Creatinine is normal, making renal-driven CA19-9 elevation unlikely.</t>
  </si>
  <si>
    <t>CA19-9 is markedly elevated (147) in an older patient, which is strongly suspicious for pancreatic malignancy. Creatinine is low/normal so renal impairment is unlikely to explain biomarker elevation. The additional protein biomarkers (LYVE1/REG1B/TFF1/REG1A) appear elevated in a pattern consistent with pancreatic cancer panels, supporting a cancer-likely classification.</t>
  </si>
  <si>
    <t>CA19-9 is markedly elevated (600), which is strongly suggestive of pancreatic malignancy in the appropriate clinical context. The accompanying biomarker pattern (very high REG1B, TFF1, and elevated LYVE1) aligns with a pancreatic cancer-associated signature rather than normal values. Low creatinine makes renal-driven CA19-9 elevation unlikely.</t>
  </si>
  <si>
    <t>CA19-9 is very low (5), which argues strongly against pancreatic cancer. The provided protein biomarkers (LYVE1, REG1B, TFF1, REG1A) do not show a clear malignant pattern sufficient to override a normal CA19-9, and there are no clinical red flags provided.</t>
  </si>
  <si>
    <t>CA19-9 is very low (3.53), which is not suggestive of pancreatic cancer. Other listed markers (LYVE1, REG1A/REG1B, TFF1) do not show a pattern that would outweigh a normal CA19-9, and there are no clinical/red-flag features provided. Overall biomarker profile favors no pancreatic cancer.</t>
  </si>
  <si>
    <t>CA19-9 is low/near-normal (30), which argues against pancreatic cancer. The additional biomarkers (LYVE1, REG1A/REG1B, TFF1) do not show a clearly malignant pattern, and the mildly elevated creatinine could reflect renal impairment rather than cancer. Overall profile is more consistent with no pancreatic cancer.</t>
  </si>
  <si>
    <t>CA19-9 is extremely elevated (31,000), far above levels typically seen in benign pancreatic/biliary conditions, and the accompanying markedly high pancreatic cancer–associated protein markers (LYVE1, REG1B/REG1A, TFF1) strongly support pancreatic malignancy rather than non-cancer causes. Creatinine is not elevated enough to explain biomarker distortion.</t>
  </si>
  <si>
    <t>CA19-9 is extremely low (0.6), which argues strongly against pancreatic cancer. The additional biomarkers (LYVE1, REG1A/REG1B, TFF1) do not show a pattern suggesting malignancy in the absence of CA19-9 elevation, and creatinine is normal, reducing concern for confounding from renal impairment.</t>
  </si>
  <si>
    <t>CA19-9 is markedly elevated (601), which is strongly suggestive of pancreatic malignancy in the appropriate clinical context; creatinine is normal so this elevation is less likely due to renal impairment. Additional pancreatic-associated markers (REG1B/REG1A, TFF1, LYVE1) are also elevated, supporting a cancer-associated biomarker pattern rather than benign disease alone.</t>
  </si>
  <si>
    <t>CA19-9 is extremely elevated (5855), far above typical benign or inflammatory ranges and strongly suggestive of pancreatic malignancy. Age 66 increases baseline risk. Additional pancreatic cancer–associated protein markers (REG1B, TFF1, REG1A) are markedly elevated, supporting a tumor signature. Although creatinine is high (renal dysfunction can raise CA19-9), the magnitude of CA19-9 elevation plus concordant biomarker pattern makes pancreatic cancer very likely.</t>
  </si>
  <si>
    <t>CA19-9 is markedly elevated (271.7), which is strongly suspicious for pancreatic malignancy in the appropriate clinical context. The additional biomarker panel shows very high TFF1 and elevated REG1B/REG1A with increased LYVE1, a pattern more consistent with pancreatic cancer-associated signature than benign disease. Although creatinine is very high (possible renal dysfunction can inflate CA19-9), the combined multi-marker elevation supports cancer as more likely.</t>
  </si>
  <si>
    <t>CA19-9 is markedly elevated (291), which is strongly associated with pancreatic malignancy in the appropriate clinical setting. The additional pancreatic cancer–associated protein markers (LYVE1, REG1B, TFF1) are also elevated, supporting a malignant signature. Although creatinine is high (possible renal dysfunction that can inflate CA19-9), the combined multi-marker elevation makes pancreatic cancer more likely than a benign explanation.</t>
  </si>
  <si>
    <t>CA19-9 is markedly elevated (167.5; above the typical 37 U/mL cutoff) and kidney function appears normal (creatinine 0.83), making a false elevation from renal impairment less likely. The panel proteins (notably high TFF1 with elevated REG1B/REG1A and LYVE1) are consistent with patterns seen in pancreatic malignancy rather than benign disease, especially in an 80-year-old.</t>
  </si>
  <si>
    <t>CA19-9 is very low (6.9), which argues strongly against pancreatic cancer in this evaluation context. Although creatinine is markedly elevated (possible renal dysfunction) and some protein biomarkers (e.g., REG1B/TFF1) are elevated, these are less specific and can be influenced by non-malignant pancreatic/inflammatory or systemic conditions; without an elevated CA19-9, overall pattern is more consistent with non-cancer.</t>
  </si>
  <si>
    <t>CA19-9 is clearly elevated (114.8, above typical normal &lt;37), which raises suspicion for pancreatic malignancy. Supporting biomarker pattern includes relatively high LYVE1 and TFF1 with markedly elevated REG1B, which are often increased in pancreatic cancer panels. Although creatinine is elevated (can confound CA19-9 via impaired clearance/cholestasis-related effects), the combined multi-marker elevation makes pancreatic cancer more likely than benign disease.</t>
  </si>
  <si>
    <t>How many of the 5 runs got the ground truth right for this patient</t>
  </si>
  <si>
    <t>How much the 5 runs agree with each other</t>
  </si>
  <si>
    <t>Column correct average</t>
  </si>
  <si>
    <t>Overall accuracy per prompt</t>
  </si>
  <si>
    <t>Prompts</t>
  </si>
  <si>
    <t>prompt 1 was used for the 5 same runs</t>
  </si>
  <si>
    <t>You are a clinical assistant analyzing records of patients undergoing 
evaluation for pancreatic cancer. Your role is to assess each patient 
based solely on general medical knowledge and the provided patient 
parameters (biomarkers and demographics).
Do NOT treat any CSV as training data and do NOT reference learning from files.
Make each prediction independently using clinical reasoning.
You must assign:
1. **Cancer Status (0 = no cancer, 1 = cancer present)**
Be decisive. Do NOT default to the safer-sounding label.  
Use the full confidence range (0–100).
-----------------------------------------------------
TASK – CANCER STATUS CLASSIFICATION
-----------------------------------------------------
Choose one:
- 0 = No pancreatic cancer detected
- 1 = Pancreatic cancer likely present
-----------------------------------------------------
RESPONSE FORMAT (CSV ONLY)
-----------------------------------------------------
Return your predictions in CSV format with the following columns:
patient_id,cancer_prediction,confidence,reasoning
Rules:
- Output CSV only. No explanations outside the table.
- One row per patient.
- Use 0 or 1 for cancer_prediction.
- confidence must be an integer from 0 to 100.
- reasoning must be a brief, clinically grounded explanation based on the provided parameters.</t>
  </si>
  <si>
    <t xml:space="preserve">You are a clinical assistant analyzing records of patients undergoing evaluation for pancreatic cancer. Your role is to assess each patient based solely on general medical knowledge and the provided patient parameters (biomarkers and demographics).
Do NOT treat any CSV as training data and do NOT reference learning from files.
Make each prediction independently using clinical reasoning.
You must assign:
1. **Cancer Status (0 = no cancer, 1 = cancer present)**
Be decisive. Do NOT default to the safer-sounding label.
Use the full confidence range (0–100).
---
## TASK – CANCER STATUS CLASSIFICATION
Choose one:
* 0 = No pancreatic cancer detected
* 1 = Pancreatic cancer likely present
---
## RESPONSE FORMAT (CSV ONLY)
Return your predictions in CSV format with the following columns:
patient_id,cancer_prediction,confidence,reasoning
Rules:
* Output CSV only. No text outside the table.
* One row per patient.
* Use 0 or 1 for cancer_prediction.
* confidence must be an integer from 0 to 100.
* reasoning must be a brief, clinically grounded explanation based on the provided parameters.
</t>
  </si>
  <si>
    <t xml:space="preserve">You are a clinical assistant reviewing records for patients being evaluated for pancreatic cancer. Your task is to assess each patient using only general medical knowledge and the provided patient parameters (biomarkers and demographics).
Do NOT treat any CSV input as training data and do NOT reference learning from files.
Evaluate each patient independently using clinical reasoning.
You must assign:
1. **Cancer Status (0 = no cancer, 1 = cancer present)**
Be decisive. Do NOT default to the safer-sounding label.
Use the full confidence range (0–100).
---
## TASK – PANCREATIC CANCER STATUS CLASSIFICATION
Select one:
* 0 = No pancreatic cancer detected
* 1 = Pancreatic cancer likely present
---
## RESPONSE FORMAT (CSV ONLY)
Return predictions in CSV format with the following columns:
patient_id,cancer_prediction,confidence,reasoning
Rules:
* Output CSV only. Do not include any text outside the table.
* Provide one row per patient.
* Use 0 or 1 for cancer_prediction.
* confidence must be an integer between 0 and 100.
* reasoning must be a brief, clinically grounded justification based solely on the provided parameters.
</t>
  </si>
  <si>
    <t xml:space="preserve">You are a clinical assistant reviewing records of patients being evaluated for pancreatic cancer. Your task is to assess each patient using only general medical knowledge and the provided patient parameters (biomarkers and demographics).
Do NOT treat any CSV as training data and do NOT imply learning from files.
Evaluate each case independently using clinical reasoning.
You must assign:
1. **Cancer Status (0 = no cancer, 1 = cancer present)**
Be decisive—do NOT default to the safer-sounding label.
Use the full confidence range (0–100).
---
## TASK – CANCER STATUS CLASSIFICATION
Select one:
* 0 = No pancreatic cancer detected
* 1 = Pancreatic cancer likely present
---
## RESPONSE FORMAT (CSV ONLY)
Return predictions in CSV format with the following columns:
patient_id,cancer_prediction,confidence,reasoning
Rules:
* Output CSV only; no text outside the table.
* One row per patient.
* cancer_prediction must be 0 or 1.
* confidence must be an integer from 0 to 100.
* reasoning must be a brief, clinically grounded explanation based on the provided parameters.
</t>
  </si>
  <si>
    <t xml:space="preserve">You are a clinical decision-support assistant reviewing records of patients being evaluated for pancreatic cancer. Your task is to assess each patient using only general medical knowledge and the provided patient-specific information (demographics and biomarkers).
Do NOT treat any CSV or file as training data, and do NOT reference learning from datasets or files.
Evaluate each patient independently using clinical reasoning only.
You must assign:
1. **Cancer Status (0 = no cancer, 1 = cancer present)**
Make a clear determination. Do NOT default to the safer-sounding option.
Use the full confidence scale (0–100).
---
## TASK – CANCER STATUS CLASSIFICATION
Select one:
* 0 = No evidence of pancreatic cancer
* 1 = Pancreatic cancer likely present
---
## RESPONSE FORMAT (CSV ONLY)
Return your predictions strictly in CSV format with the following columns:
patient_id,cancer_prediction,confidence,reasoning
Rules:
* Output CSV only; do not include any text outside the table.
* Provide exactly one row per patient.
* Use only 0 or 1 for cancer_prediction.
* confidence must be an integer from 0 to 100.
* reasoning should be a concise, clinically grounded justification based solely on the provided parameters.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</si>
</sst>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Aptos Narrow"/>
    </font>
    <font>
      <sz val="11"/>
      <color theme="1"/>
      <name val="Arial"/>
    </font>
    <font>
      <b/>
      <sz val="11"/>
      <color theme="1"/>
      <name val="Aptos Narrow"/>
    </font>
    <font>
      <sz val="11"/>
      <name val="Calibri"/>
    </font>
    <font>
      <b/>
      <sz val="11"/>
      <color theme="1"/>
      <name val="Arial"/>
    </font>
    <font>
      <i/>
      <sz val="11"/>
      <color theme="1"/>
      <name val="Aptos Narrow"/>
    </font>
    <font>
      <b/>
      <sz val="11"/>
      <color theme="1"/>
      <name val="Calibri"/>
      <scheme val="minor"/>
    </font>
    <font>
      <sz val="11"/>
      <color theme="1"/>
      <name val="Calibri"/>
      <scheme val="minor"/>
    </font>
    <font>
      <b/>
      <sz val="13"/>
      <color theme="1"/>
      <name val="Aptos Narrow"/>
    </font>
    <font>
      <b/>
      <sz val="18"/>
      <color theme="1"/>
      <name val="Aptos Narrow"/>
    </font>
    <font>
      <i/>
      <sz val="11"/>
      <color rgb="FFFF0000"/>
      <name val="Aptos Narrow"/>
    </font>
  </fonts>
  <fills count="4">
    <fill>
      <patternFill patternType="none"/>
    </fill>
    <fill>
      <patternFill patternType="gray125"/>
    </fill>
    <fill>
      <patternFill patternType="solid">
        <fgColor rgb="FF4EA72E"/>
        <bgColor rgb="FF4EA72E"/>
      </patternFill>
    </fill>
    <fill>
      <patternFill patternType="solid">
        <fgColor rgb="FFFF0000"/>
        <bgColor rgb="FFFF0000"/>
      </patternFill>
    </fill>
  </fills>
  <borders count="10">
    <border>
      <left/>
      <right/>
      <top/>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applyAlignment="1">
      <alignment horizontal="right" wrapText="1"/>
    </xf>
    <xf numFmtId="0" fontId="2" fillId="0" borderId="0" xfId="0" applyFont="1"/>
    <xf numFmtId="0" fontId="1" fillId="0" borderId="0" xfId="0" applyFont="1" applyAlignment="1">
      <alignment horizontal="right"/>
    </xf>
    <xf numFmtId="0" fontId="2" fillId="0" borderId="0" xfId="0" applyFont="1" applyAlignment="1">
      <alignment horizontal="right"/>
    </xf>
    <xf numFmtId="0" fontId="1" fillId="0" borderId="0" xfId="0" applyFont="1"/>
    <xf numFmtId="0" fontId="1" fillId="0" borderId="1" xfId="0" applyFont="1" applyBorder="1" applyAlignment="1">
      <alignment horizontal="center" wrapText="1"/>
    </xf>
    <xf numFmtId="0" fontId="3" fillId="0" borderId="0" xfId="0" applyFont="1" applyAlignment="1">
      <alignment horizontal="center" wrapText="1"/>
    </xf>
    <xf numFmtId="0" fontId="5" fillId="0" borderId="0" xfId="0" applyFont="1" applyAlignment="1">
      <alignment horizontal="center" wrapText="1"/>
    </xf>
    <xf numFmtId="0" fontId="3" fillId="0" borderId="5" xfId="0" applyFont="1" applyBorder="1" applyAlignment="1">
      <alignment horizontal="center"/>
    </xf>
    <xf numFmtId="0" fontId="1" fillId="2" borderId="0" xfId="0" applyFont="1" applyFill="1" applyAlignment="1">
      <alignment horizontal="center" wrapText="1"/>
    </xf>
    <xf numFmtId="9" fontId="1" fillId="0" borderId="0" xfId="0" applyNumberFormat="1" applyFont="1" applyAlignment="1">
      <alignment horizontal="center"/>
    </xf>
    <xf numFmtId="9" fontId="1" fillId="0" borderId="5" xfId="0" applyNumberFormat="1" applyFont="1" applyBorder="1" applyAlignment="1">
      <alignment horizontal="center"/>
    </xf>
    <xf numFmtId="0" fontId="1" fillId="3" borderId="0" xfId="0" applyFont="1" applyFill="1" applyAlignment="1">
      <alignment horizontal="center" wrapText="1"/>
    </xf>
    <xf numFmtId="0" fontId="1" fillId="0" borderId="6" xfId="0" applyFont="1" applyBorder="1"/>
    <xf numFmtId="0" fontId="6" fillId="0" borderId="7" xfId="0" applyFont="1" applyBorder="1" applyAlignment="1">
      <alignment horizontal="center"/>
    </xf>
    <xf numFmtId="9" fontId="3" fillId="0" borderId="7" xfId="0" applyNumberFormat="1" applyFont="1" applyBorder="1" applyAlignment="1">
      <alignment horizontal="center"/>
    </xf>
    <xf numFmtId="9" fontId="3" fillId="0" borderId="8" xfId="0" applyNumberFormat="1" applyFont="1" applyBorder="1" applyAlignment="1">
      <alignment horizontal="center"/>
    </xf>
    <xf numFmtId="0" fontId="7" fillId="0" borderId="9" xfId="0" applyFont="1" applyBorder="1" applyAlignment="1">
      <alignment horizontal="center" vertical="top"/>
    </xf>
    <xf numFmtId="0" fontId="8" fillId="0" borderId="0" xfId="0" applyFont="1"/>
    <xf numFmtId="0" fontId="9" fillId="0" borderId="0" xfId="0" applyFont="1" applyAlignment="1">
      <alignment vertical="center"/>
    </xf>
    <xf numFmtId="0" fontId="6" fillId="0" borderId="0" xfId="0" applyFont="1" applyAlignment="1">
      <alignment horizontal="left" vertical="center"/>
    </xf>
    <xf numFmtId="0" fontId="1" fillId="0" borderId="0" xfId="0" applyFont="1" applyAlignment="1">
      <alignment horizontal="left" vertical="center"/>
    </xf>
    <xf numFmtId="0" fontId="10" fillId="0" borderId="0" xfId="0" applyFont="1" applyAlignment="1">
      <alignment horizontal="center" vertical="center"/>
    </xf>
    <xf numFmtId="0" fontId="11" fillId="0" borderId="0" xfId="0" applyFont="1"/>
    <xf numFmtId="0" fontId="1" fillId="0" borderId="0" xfId="0" applyFont="1" applyAlignment="1">
      <alignment horizontal="center" vertical="center"/>
    </xf>
    <xf numFmtId="0" fontId="2" fillId="0" borderId="0" xfId="0" applyFont="1" applyAlignment="1">
      <alignment wrapText="1"/>
    </xf>
    <xf numFmtId="0" fontId="3" fillId="0" borderId="1" xfId="0" applyFont="1" applyBorder="1" applyAlignment="1">
      <alignment horizontal="center"/>
    </xf>
    <xf numFmtId="0" fontId="0" fillId="0" borderId="0" xfId="0"/>
    <xf numFmtId="0" fontId="3" fillId="0" borderId="2" xfId="0" applyFont="1" applyBorder="1" applyAlignment="1">
      <alignment horizontal="center"/>
    </xf>
    <xf numFmtId="0" fontId="4" fillId="0" borderId="3" xfId="0" applyFont="1" applyBorder="1"/>
    <xf numFmtId="0" fontId="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64"/>
  <sheetViews>
    <sheetView workbookViewId="0"/>
  </sheetViews>
  <sheetFormatPr defaultColWidth="14.44140625" defaultRowHeight="15" customHeight="1" x14ac:dyDescent="0.3"/>
  <sheetData>
    <row r="1" spans="1:2" x14ac:dyDescent="0.3">
      <c r="A1" s="1" t="s">
        <v>0</v>
      </c>
      <c r="B1" s="2" t="s">
        <v>1</v>
      </c>
    </row>
    <row r="2" spans="1:2" x14ac:dyDescent="0.3">
      <c r="A2" s="1">
        <v>1</v>
      </c>
      <c r="B2" s="3">
        <v>1</v>
      </c>
    </row>
    <row r="3" spans="1:2" x14ac:dyDescent="0.3">
      <c r="A3" s="1">
        <v>2</v>
      </c>
      <c r="B3" s="3">
        <v>0</v>
      </c>
    </row>
    <row r="4" spans="1:2" x14ac:dyDescent="0.3">
      <c r="A4" s="1">
        <v>3</v>
      </c>
      <c r="B4" s="3">
        <v>1</v>
      </c>
    </row>
    <row r="5" spans="1:2" x14ac:dyDescent="0.3">
      <c r="A5" s="1">
        <v>4</v>
      </c>
      <c r="B5" s="3">
        <v>0</v>
      </c>
    </row>
    <row r="6" spans="1:2" x14ac:dyDescent="0.3">
      <c r="A6" s="1">
        <v>5</v>
      </c>
      <c r="B6" s="3">
        <v>1</v>
      </c>
    </row>
    <row r="7" spans="1:2" x14ac:dyDescent="0.3">
      <c r="A7" s="1">
        <v>6</v>
      </c>
      <c r="B7" s="3">
        <v>1</v>
      </c>
    </row>
    <row r="8" spans="1:2" x14ac:dyDescent="0.3">
      <c r="A8" s="1">
        <v>7</v>
      </c>
      <c r="B8" s="3">
        <v>0</v>
      </c>
    </row>
    <row r="9" spans="1:2" x14ac:dyDescent="0.3">
      <c r="A9" s="1">
        <v>8</v>
      </c>
      <c r="B9" s="3">
        <v>0</v>
      </c>
    </row>
    <row r="10" spans="1:2" x14ac:dyDescent="0.3">
      <c r="A10" s="1">
        <v>9</v>
      </c>
      <c r="B10" s="3">
        <v>1</v>
      </c>
    </row>
    <row r="11" spans="1:2" x14ac:dyDescent="0.3">
      <c r="A11" s="1">
        <v>10</v>
      </c>
      <c r="B11" s="3">
        <v>1</v>
      </c>
    </row>
    <row r="12" spans="1:2" x14ac:dyDescent="0.3">
      <c r="A12" s="1">
        <v>11</v>
      </c>
      <c r="B12" s="3">
        <v>0</v>
      </c>
    </row>
    <row r="13" spans="1:2" x14ac:dyDescent="0.3">
      <c r="A13" s="1">
        <v>12</v>
      </c>
      <c r="B13" s="3">
        <v>0</v>
      </c>
    </row>
    <row r="14" spans="1:2" x14ac:dyDescent="0.3">
      <c r="A14" s="1">
        <v>13</v>
      </c>
      <c r="B14" s="3">
        <v>1</v>
      </c>
    </row>
    <row r="15" spans="1:2" x14ac:dyDescent="0.3">
      <c r="A15" s="1">
        <v>14</v>
      </c>
      <c r="B15" s="3">
        <v>1</v>
      </c>
    </row>
    <row r="16" spans="1:2" x14ac:dyDescent="0.3">
      <c r="A16" s="1">
        <v>15</v>
      </c>
      <c r="B16" s="3">
        <v>0</v>
      </c>
    </row>
    <row r="17" spans="1:2" x14ac:dyDescent="0.3">
      <c r="A17" s="1">
        <v>16</v>
      </c>
      <c r="B17" s="3">
        <v>1</v>
      </c>
    </row>
    <row r="18" spans="1:2" x14ac:dyDescent="0.3">
      <c r="A18" s="1">
        <v>17</v>
      </c>
      <c r="B18" s="3">
        <v>0</v>
      </c>
    </row>
    <row r="19" spans="1:2" x14ac:dyDescent="0.3">
      <c r="A19" s="1">
        <v>18</v>
      </c>
      <c r="B19" s="3">
        <v>1</v>
      </c>
    </row>
    <row r="20" spans="1:2" x14ac:dyDescent="0.3">
      <c r="A20" s="1">
        <v>19</v>
      </c>
      <c r="B20" s="3">
        <v>1</v>
      </c>
    </row>
    <row r="21" spans="1:2" x14ac:dyDescent="0.3">
      <c r="A21" s="1">
        <v>20</v>
      </c>
      <c r="B21" s="3">
        <v>1</v>
      </c>
    </row>
    <row r="22" spans="1:2" x14ac:dyDescent="0.3">
      <c r="A22" s="1">
        <v>21</v>
      </c>
      <c r="B22" s="3">
        <v>0</v>
      </c>
    </row>
    <row r="23" spans="1:2" x14ac:dyDescent="0.3">
      <c r="A23" s="1">
        <v>22</v>
      </c>
      <c r="B23" s="3">
        <v>1</v>
      </c>
    </row>
    <row r="24" spans="1:2" x14ac:dyDescent="0.3">
      <c r="A24" s="1">
        <v>23</v>
      </c>
      <c r="B24" s="3">
        <v>1</v>
      </c>
    </row>
    <row r="25" spans="1:2" x14ac:dyDescent="0.3">
      <c r="A25" s="1">
        <v>24</v>
      </c>
      <c r="B25" s="3">
        <v>1</v>
      </c>
    </row>
    <row r="26" spans="1:2" x14ac:dyDescent="0.3">
      <c r="A26" s="1">
        <v>25</v>
      </c>
      <c r="B26" s="3">
        <v>1</v>
      </c>
    </row>
    <row r="27" spans="1:2" x14ac:dyDescent="0.3">
      <c r="A27" s="1">
        <v>26</v>
      </c>
      <c r="B27" s="3">
        <v>1</v>
      </c>
    </row>
    <row r="28" spans="1:2" x14ac:dyDescent="0.3">
      <c r="A28" s="1">
        <v>27</v>
      </c>
      <c r="B28" s="3">
        <v>1</v>
      </c>
    </row>
    <row r="29" spans="1:2" x14ac:dyDescent="0.3">
      <c r="A29" s="1">
        <v>28</v>
      </c>
      <c r="B29" s="3">
        <v>0</v>
      </c>
    </row>
    <row r="30" spans="1:2" x14ac:dyDescent="0.3">
      <c r="A30" s="1">
        <v>29</v>
      </c>
      <c r="B30" s="3">
        <v>1</v>
      </c>
    </row>
    <row r="31" spans="1:2" x14ac:dyDescent="0.3">
      <c r="A31" s="1">
        <v>30</v>
      </c>
      <c r="B31" s="3">
        <v>0</v>
      </c>
    </row>
    <row r="32" spans="1:2" x14ac:dyDescent="0.3">
      <c r="A32" s="3">
        <v>31</v>
      </c>
      <c r="B32" s="3">
        <v>1</v>
      </c>
    </row>
    <row r="33" spans="1:2" x14ac:dyDescent="0.3">
      <c r="A33" s="3">
        <v>32</v>
      </c>
      <c r="B33" s="3">
        <v>0</v>
      </c>
    </row>
    <row r="34" spans="1:2" x14ac:dyDescent="0.3">
      <c r="A34" s="3">
        <v>33</v>
      </c>
      <c r="B34" s="3">
        <v>0</v>
      </c>
    </row>
    <row r="35" spans="1:2" x14ac:dyDescent="0.3">
      <c r="A35" s="3">
        <v>34</v>
      </c>
      <c r="B35" s="3">
        <v>0</v>
      </c>
    </row>
    <row r="36" spans="1:2" x14ac:dyDescent="0.3">
      <c r="A36" s="3">
        <v>35</v>
      </c>
      <c r="B36" s="3">
        <v>1</v>
      </c>
    </row>
    <row r="37" spans="1:2" x14ac:dyDescent="0.3">
      <c r="A37" s="3">
        <v>36</v>
      </c>
      <c r="B37" s="3">
        <v>0</v>
      </c>
    </row>
    <row r="38" spans="1:2" x14ac:dyDescent="0.3">
      <c r="A38" s="3">
        <v>37</v>
      </c>
      <c r="B38" s="3">
        <v>1</v>
      </c>
    </row>
    <row r="39" spans="1:2" x14ac:dyDescent="0.3">
      <c r="A39" s="3">
        <v>38</v>
      </c>
      <c r="B39" s="3">
        <v>0</v>
      </c>
    </row>
    <row r="40" spans="1:2" x14ac:dyDescent="0.3">
      <c r="A40" s="3">
        <v>39</v>
      </c>
      <c r="B40" s="3">
        <v>1</v>
      </c>
    </row>
    <row r="41" spans="1:2" x14ac:dyDescent="0.3">
      <c r="A41" s="3">
        <v>40</v>
      </c>
      <c r="B41" s="3">
        <v>1</v>
      </c>
    </row>
    <row r="42" spans="1:2" x14ac:dyDescent="0.3">
      <c r="A42" s="3">
        <v>41</v>
      </c>
      <c r="B42" s="3">
        <v>1</v>
      </c>
    </row>
    <row r="43" spans="1:2" x14ac:dyDescent="0.3">
      <c r="A43" s="3">
        <v>42</v>
      </c>
      <c r="B43" s="3">
        <v>0</v>
      </c>
    </row>
    <row r="44" spans="1:2" x14ac:dyDescent="0.3">
      <c r="A44" s="3">
        <v>43</v>
      </c>
      <c r="B44" s="3">
        <v>0</v>
      </c>
    </row>
    <row r="45" spans="1:2" x14ac:dyDescent="0.3">
      <c r="A45" s="3">
        <v>44</v>
      </c>
      <c r="B45" s="3">
        <v>1</v>
      </c>
    </row>
    <row r="46" spans="1:2" x14ac:dyDescent="0.3">
      <c r="A46" s="3">
        <v>45</v>
      </c>
      <c r="B46" s="3">
        <v>1</v>
      </c>
    </row>
    <row r="47" spans="1:2" x14ac:dyDescent="0.3">
      <c r="A47" s="3">
        <v>46</v>
      </c>
      <c r="B47" s="3">
        <v>0</v>
      </c>
    </row>
    <row r="48" spans="1:2" x14ac:dyDescent="0.3">
      <c r="A48" s="3">
        <v>47</v>
      </c>
      <c r="B48" s="3">
        <v>1</v>
      </c>
    </row>
    <row r="49" spans="1:2" x14ac:dyDescent="0.3">
      <c r="A49" s="3">
        <v>48</v>
      </c>
      <c r="B49" s="3">
        <v>1</v>
      </c>
    </row>
    <row r="50" spans="1:2" x14ac:dyDescent="0.3">
      <c r="A50" s="3">
        <v>49</v>
      </c>
      <c r="B50" s="3">
        <v>1</v>
      </c>
    </row>
    <row r="51" spans="1:2" x14ac:dyDescent="0.3">
      <c r="A51" s="3">
        <v>50</v>
      </c>
      <c r="B51" s="3">
        <v>1</v>
      </c>
    </row>
    <row r="52" spans="1:2" x14ac:dyDescent="0.3">
      <c r="A52" s="3">
        <v>51</v>
      </c>
      <c r="B52" s="3">
        <v>1</v>
      </c>
    </row>
    <row r="53" spans="1:2" x14ac:dyDescent="0.3">
      <c r="A53" s="3">
        <v>52</v>
      </c>
      <c r="B53" s="3">
        <v>0</v>
      </c>
    </row>
    <row r="54" spans="1:2" x14ac:dyDescent="0.3">
      <c r="A54" s="3">
        <v>53</v>
      </c>
      <c r="B54" s="3">
        <v>0</v>
      </c>
    </row>
    <row r="55" spans="1:2" x14ac:dyDescent="0.3">
      <c r="A55" s="3">
        <v>54</v>
      </c>
      <c r="B55" s="3">
        <v>1</v>
      </c>
    </row>
    <row r="56" spans="1:2" x14ac:dyDescent="0.3">
      <c r="A56" s="3">
        <v>55</v>
      </c>
      <c r="B56" s="3">
        <v>1</v>
      </c>
    </row>
    <row r="57" spans="1:2" x14ac:dyDescent="0.3">
      <c r="A57" s="3">
        <v>56</v>
      </c>
      <c r="B57" s="3">
        <v>1</v>
      </c>
    </row>
    <row r="58" spans="1:2" x14ac:dyDescent="0.3">
      <c r="A58" s="3">
        <v>57</v>
      </c>
      <c r="B58" s="3">
        <v>1</v>
      </c>
    </row>
    <row r="59" spans="1:2" x14ac:dyDescent="0.3">
      <c r="A59" s="3">
        <v>58</v>
      </c>
      <c r="B59" s="3">
        <v>1</v>
      </c>
    </row>
    <row r="60" spans="1:2" x14ac:dyDescent="0.3">
      <c r="A60" s="3">
        <v>59</v>
      </c>
      <c r="B60" s="3">
        <v>1</v>
      </c>
    </row>
    <row r="61" spans="1:2" x14ac:dyDescent="0.3">
      <c r="A61" s="3">
        <v>60</v>
      </c>
      <c r="B61" s="3">
        <v>1</v>
      </c>
    </row>
    <row r="62" spans="1:2" x14ac:dyDescent="0.3">
      <c r="A62" s="3">
        <v>61</v>
      </c>
      <c r="B62" s="3">
        <v>1</v>
      </c>
    </row>
    <row r="63" spans="1:2" x14ac:dyDescent="0.3">
      <c r="A63" s="3">
        <v>62</v>
      </c>
      <c r="B63" s="3">
        <v>1</v>
      </c>
    </row>
    <row r="64" spans="1:2" x14ac:dyDescent="0.3">
      <c r="A64" s="4">
        <v>63</v>
      </c>
      <c r="B64" s="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67"/>
  <sheetViews>
    <sheetView topLeftCell="A30" workbookViewId="0">
      <selection sqref="A1:T1"/>
    </sheetView>
  </sheetViews>
  <sheetFormatPr defaultColWidth="14.44140625" defaultRowHeight="15" customHeight="1" x14ac:dyDescent="0.3"/>
  <sheetData>
    <row r="1" spans="1:20" x14ac:dyDescent="0.3">
      <c r="A1" s="27" t="s">
        <v>2</v>
      </c>
      <c r="B1" s="28"/>
      <c r="C1" s="28"/>
      <c r="D1" s="28"/>
      <c r="E1" s="28"/>
      <c r="F1" s="28"/>
      <c r="G1" s="28"/>
      <c r="H1" s="28"/>
      <c r="I1" s="28"/>
      <c r="J1" s="28"/>
      <c r="K1" s="28"/>
      <c r="L1" s="28"/>
      <c r="M1" s="28"/>
      <c r="N1" s="28"/>
      <c r="O1" s="28"/>
      <c r="P1" s="28"/>
      <c r="Q1" s="28"/>
      <c r="R1" s="28"/>
      <c r="S1" s="28"/>
      <c r="T1" s="28"/>
    </row>
    <row r="2" spans="1:20" x14ac:dyDescent="0.3">
      <c r="A2" s="29" t="s">
        <v>3</v>
      </c>
      <c r="B2" s="30"/>
      <c r="C2" s="30"/>
      <c r="D2" s="30"/>
      <c r="E2" s="30"/>
      <c r="F2" s="30"/>
      <c r="G2" s="30"/>
      <c r="H2" s="30"/>
      <c r="I2" s="31"/>
      <c r="J2" s="5"/>
      <c r="K2" s="5"/>
      <c r="L2" s="29" t="s">
        <v>4</v>
      </c>
      <c r="M2" s="30"/>
      <c r="N2" s="30"/>
      <c r="O2" s="30"/>
      <c r="P2" s="30"/>
      <c r="Q2" s="30"/>
      <c r="R2" s="30"/>
      <c r="S2" s="30"/>
      <c r="T2" s="31"/>
    </row>
    <row r="3" spans="1:20" x14ac:dyDescent="0.3">
      <c r="A3" s="6" t="s">
        <v>0</v>
      </c>
      <c r="B3" s="7" t="s">
        <v>5</v>
      </c>
      <c r="C3" s="7" t="s">
        <v>6</v>
      </c>
      <c r="D3" s="7" t="s">
        <v>7</v>
      </c>
      <c r="E3" s="7" t="s">
        <v>8</v>
      </c>
      <c r="F3" s="7" t="s">
        <v>9</v>
      </c>
      <c r="G3" s="8" t="s">
        <v>10</v>
      </c>
      <c r="H3" s="7" t="s">
        <v>11</v>
      </c>
      <c r="I3" s="9" t="s">
        <v>12</v>
      </c>
      <c r="J3" s="5"/>
      <c r="K3" s="5"/>
      <c r="L3" s="6" t="s">
        <v>0</v>
      </c>
      <c r="M3" s="7" t="s">
        <v>5</v>
      </c>
      <c r="N3" s="7" t="s">
        <v>13</v>
      </c>
      <c r="O3" s="7" t="s">
        <v>14</v>
      </c>
      <c r="P3" s="7" t="s">
        <v>15</v>
      </c>
      <c r="Q3" s="7" t="s">
        <v>16</v>
      </c>
      <c r="R3" s="7" t="s">
        <v>17</v>
      </c>
      <c r="S3" s="7" t="s">
        <v>11</v>
      </c>
      <c r="T3" s="9" t="s">
        <v>12</v>
      </c>
    </row>
    <row r="4" spans="1:20" x14ac:dyDescent="0.3">
      <c r="A4" s="6">
        <v>1</v>
      </c>
      <c r="B4" s="7">
        <f>Actual!$B2</f>
        <v>1</v>
      </c>
      <c r="C4" s="10">
        <f>prompt1!B2</f>
        <v>1</v>
      </c>
      <c r="D4" s="10">
        <f>prompt2!B2</f>
        <v>1</v>
      </c>
      <c r="E4" s="10">
        <f>prompt3!B2</f>
        <v>1</v>
      </c>
      <c r="F4" s="10">
        <f>prompt4!B2</f>
        <v>1</v>
      </c>
      <c r="G4" s="10">
        <f>prompt5!B2</f>
        <v>1</v>
      </c>
      <c r="H4" s="11">
        <f t="shared" ref="H4:H66" si="0">COUNTIF($C4:$G4,$B4)/COLUMNS($C4:$G4)</f>
        <v>1</v>
      </c>
      <c r="I4" s="12">
        <f t="shared" ref="I4:I66" si="1">MAX(COUNTIF($C4:$G4,$C4),COUNTIF($C4:$G4,$D4),COUNTIF($C4:$G4,$E4),COUNTIF($C4:$G4,$F4),COUNTIF($C4:$G4,$G4)) / COLUMNS($C4:$G4)</f>
        <v>1</v>
      </c>
      <c r="J4" s="5"/>
      <c r="K4" s="5"/>
      <c r="L4" s="6">
        <v>1</v>
      </c>
      <c r="M4" s="7">
        <f>Actual!$B2</f>
        <v>1</v>
      </c>
      <c r="N4" s="10">
        <f>classify1!B2</f>
        <v>1</v>
      </c>
      <c r="O4" s="10">
        <f>classify2!B2</f>
        <v>1</v>
      </c>
      <c r="P4" s="10">
        <f>classify3!B2</f>
        <v>1</v>
      </c>
      <c r="Q4" s="10">
        <f>classify4!B2</f>
        <v>1</v>
      </c>
      <c r="R4" s="10">
        <f>classify5!B2</f>
        <v>1</v>
      </c>
      <c r="S4" s="11">
        <f t="shared" ref="S4:S66" si="2">COUNTIF($N4:$R4,$M4)/COLUMNS($N4:$R4)</f>
        <v>1</v>
      </c>
      <c r="T4" s="12">
        <f t="shared" ref="T4:T66" si="3">MAX(COUNTIF($N4:$R4,$N4),COUNTIF($N4:$R4,$O4),COUNTIF($N4:$R4,$P4),COUNTIF($N4:$R4,$Q4),COUNTIF($N4:$R4,$R4)) / COLUMNS($N4:$R4)</f>
        <v>1</v>
      </c>
    </row>
    <row r="5" spans="1:20" x14ac:dyDescent="0.3">
      <c r="A5" s="6">
        <f t="shared" ref="A5:A66" si="4">A4+1</f>
        <v>2</v>
      </c>
      <c r="B5" s="7">
        <f>Actual!$B3</f>
        <v>0</v>
      </c>
      <c r="C5" s="10">
        <f>prompt1!B3</f>
        <v>0</v>
      </c>
      <c r="D5" s="10">
        <f>prompt2!B3</f>
        <v>0</v>
      </c>
      <c r="E5" s="10">
        <f>prompt3!B3</f>
        <v>0</v>
      </c>
      <c r="F5" s="10">
        <f>prompt4!B3</f>
        <v>0</v>
      </c>
      <c r="G5" s="10">
        <f>prompt5!B3</f>
        <v>0</v>
      </c>
      <c r="H5" s="11">
        <f t="shared" si="0"/>
        <v>1</v>
      </c>
      <c r="I5" s="12">
        <f t="shared" si="1"/>
        <v>1</v>
      </c>
      <c r="J5" s="5"/>
      <c r="K5" s="5"/>
      <c r="L5" s="6">
        <f t="shared" ref="L5:L66" si="5">L4+1</f>
        <v>2</v>
      </c>
      <c r="M5" s="7">
        <f>Actual!$B3</f>
        <v>0</v>
      </c>
      <c r="N5" s="10">
        <f>classify1!B3</f>
        <v>0</v>
      </c>
      <c r="O5" s="10">
        <f>classify2!B3</f>
        <v>0</v>
      </c>
      <c r="P5" s="10">
        <f>classify3!B3</f>
        <v>0</v>
      </c>
      <c r="Q5" s="10">
        <f>classify4!B3</f>
        <v>0</v>
      </c>
      <c r="R5" s="10">
        <f>classify5!B3</f>
        <v>0</v>
      </c>
      <c r="S5" s="11">
        <f t="shared" si="2"/>
        <v>1</v>
      </c>
      <c r="T5" s="12">
        <f t="shared" si="3"/>
        <v>1</v>
      </c>
    </row>
    <row r="6" spans="1:20" x14ac:dyDescent="0.3">
      <c r="A6" s="6">
        <f t="shared" si="4"/>
        <v>3</v>
      </c>
      <c r="B6" s="7">
        <f>Actual!$B4</f>
        <v>1</v>
      </c>
      <c r="C6" s="10">
        <f>prompt1!B4</f>
        <v>1</v>
      </c>
      <c r="D6" s="10">
        <f>prompt2!B4</f>
        <v>1</v>
      </c>
      <c r="E6" s="10">
        <f>prompt3!B4</f>
        <v>1</v>
      </c>
      <c r="F6" s="10">
        <f>prompt4!B4</f>
        <v>1</v>
      </c>
      <c r="G6" s="10">
        <f>prompt5!B4</f>
        <v>1</v>
      </c>
      <c r="H6" s="11">
        <f t="shared" si="0"/>
        <v>1</v>
      </c>
      <c r="I6" s="12">
        <f t="shared" si="1"/>
        <v>1</v>
      </c>
      <c r="J6" s="5"/>
      <c r="K6" s="5"/>
      <c r="L6" s="6">
        <f t="shared" si="5"/>
        <v>3</v>
      </c>
      <c r="M6" s="7">
        <f>Actual!$B4</f>
        <v>1</v>
      </c>
      <c r="N6" s="10">
        <f>classify1!B4</f>
        <v>1</v>
      </c>
      <c r="O6" s="10">
        <f>classify2!B4</f>
        <v>1</v>
      </c>
      <c r="P6" s="10">
        <f>classify3!B4</f>
        <v>1</v>
      </c>
      <c r="Q6" s="10">
        <f>classify4!B4</f>
        <v>1</v>
      </c>
      <c r="R6" s="10">
        <f>classify5!B4</f>
        <v>1</v>
      </c>
      <c r="S6" s="11">
        <f t="shared" si="2"/>
        <v>1</v>
      </c>
      <c r="T6" s="12">
        <f t="shared" si="3"/>
        <v>1</v>
      </c>
    </row>
    <row r="7" spans="1:20" x14ac:dyDescent="0.3">
      <c r="A7" s="6">
        <f t="shared" si="4"/>
        <v>4</v>
      </c>
      <c r="B7" s="7">
        <f>Actual!$B5</f>
        <v>0</v>
      </c>
      <c r="C7" s="10">
        <f>prompt1!B5</f>
        <v>0</v>
      </c>
      <c r="D7" s="10">
        <f>prompt2!B5</f>
        <v>0</v>
      </c>
      <c r="E7" s="10">
        <f>prompt3!B5</f>
        <v>0</v>
      </c>
      <c r="F7" s="10">
        <f>prompt4!B5</f>
        <v>0</v>
      </c>
      <c r="G7" s="10">
        <f>prompt5!B5</f>
        <v>0</v>
      </c>
      <c r="H7" s="11">
        <f t="shared" si="0"/>
        <v>1</v>
      </c>
      <c r="I7" s="12">
        <f t="shared" si="1"/>
        <v>1</v>
      </c>
      <c r="J7" s="5"/>
      <c r="K7" s="5"/>
      <c r="L7" s="6">
        <f t="shared" si="5"/>
        <v>4</v>
      </c>
      <c r="M7" s="7">
        <f>Actual!$B5</f>
        <v>0</v>
      </c>
      <c r="N7" s="10">
        <f>classify1!B5</f>
        <v>0</v>
      </c>
      <c r="O7" s="10">
        <f>classify2!B5</f>
        <v>0</v>
      </c>
      <c r="P7" s="10">
        <f>classify3!B5</f>
        <v>0</v>
      </c>
      <c r="Q7" s="10">
        <f>classify4!B5</f>
        <v>0</v>
      </c>
      <c r="R7" s="10">
        <f>classify5!B5</f>
        <v>0</v>
      </c>
      <c r="S7" s="11">
        <f t="shared" si="2"/>
        <v>1</v>
      </c>
      <c r="T7" s="12">
        <f t="shared" si="3"/>
        <v>1</v>
      </c>
    </row>
    <row r="8" spans="1:20" x14ac:dyDescent="0.3">
      <c r="A8" s="6">
        <f t="shared" si="4"/>
        <v>5</v>
      </c>
      <c r="B8" s="7">
        <f>Actual!$B6</f>
        <v>1</v>
      </c>
      <c r="C8" s="10">
        <f>prompt1!B6</f>
        <v>1</v>
      </c>
      <c r="D8" s="10">
        <f>prompt2!B6</f>
        <v>1</v>
      </c>
      <c r="E8" s="10">
        <f>prompt3!B6</f>
        <v>1</v>
      </c>
      <c r="F8" s="10">
        <f>prompt4!B6</f>
        <v>1</v>
      </c>
      <c r="G8" s="10">
        <f>prompt5!B6</f>
        <v>1</v>
      </c>
      <c r="H8" s="11">
        <f t="shared" si="0"/>
        <v>1</v>
      </c>
      <c r="I8" s="12">
        <f t="shared" si="1"/>
        <v>1</v>
      </c>
      <c r="J8" s="5"/>
      <c r="K8" s="5"/>
      <c r="L8" s="6">
        <f t="shared" si="5"/>
        <v>5</v>
      </c>
      <c r="M8" s="7">
        <f>Actual!$B6</f>
        <v>1</v>
      </c>
      <c r="N8" s="10">
        <f>classify1!B6</f>
        <v>1</v>
      </c>
      <c r="O8" s="10">
        <f>classify2!B6</f>
        <v>1</v>
      </c>
      <c r="P8" s="10">
        <f>classify3!B6</f>
        <v>1</v>
      </c>
      <c r="Q8" s="10">
        <f>classify4!B6</f>
        <v>1</v>
      </c>
      <c r="R8" s="10">
        <f>classify5!B6</f>
        <v>1</v>
      </c>
      <c r="S8" s="11">
        <f t="shared" si="2"/>
        <v>1</v>
      </c>
      <c r="T8" s="12">
        <f t="shared" si="3"/>
        <v>1</v>
      </c>
    </row>
    <row r="9" spans="1:20" x14ac:dyDescent="0.3">
      <c r="A9" s="6">
        <f t="shared" si="4"/>
        <v>6</v>
      </c>
      <c r="B9" s="7">
        <f>Actual!$B7</f>
        <v>1</v>
      </c>
      <c r="C9" s="10">
        <f>prompt1!B7</f>
        <v>1</v>
      </c>
      <c r="D9" s="10">
        <f>prompt2!B7</f>
        <v>1</v>
      </c>
      <c r="E9" s="10">
        <f>prompt3!B7</f>
        <v>1</v>
      </c>
      <c r="F9" s="10">
        <f>prompt4!B7</f>
        <v>1</v>
      </c>
      <c r="G9" s="10">
        <f>prompt5!B7</f>
        <v>1</v>
      </c>
      <c r="H9" s="11">
        <f t="shared" si="0"/>
        <v>1</v>
      </c>
      <c r="I9" s="12">
        <f t="shared" si="1"/>
        <v>1</v>
      </c>
      <c r="J9" s="5"/>
      <c r="K9" s="5"/>
      <c r="L9" s="6">
        <f t="shared" si="5"/>
        <v>6</v>
      </c>
      <c r="M9" s="7">
        <f>Actual!$B7</f>
        <v>1</v>
      </c>
      <c r="N9" s="10">
        <f>classify1!B7</f>
        <v>1</v>
      </c>
      <c r="O9" s="10">
        <f>classify2!B7</f>
        <v>1</v>
      </c>
      <c r="P9" s="10">
        <f>classify3!B7</f>
        <v>1</v>
      </c>
      <c r="Q9" s="10">
        <f>classify4!B7</f>
        <v>1</v>
      </c>
      <c r="R9" s="10">
        <f>classify5!B7</f>
        <v>1</v>
      </c>
      <c r="S9" s="11">
        <f t="shared" si="2"/>
        <v>1</v>
      </c>
      <c r="T9" s="12">
        <f t="shared" si="3"/>
        <v>1</v>
      </c>
    </row>
    <row r="10" spans="1:20" x14ac:dyDescent="0.3">
      <c r="A10" s="6">
        <f t="shared" si="4"/>
        <v>7</v>
      </c>
      <c r="B10" s="7">
        <f>Actual!$B8</f>
        <v>0</v>
      </c>
      <c r="C10" s="10">
        <f>prompt1!B8</f>
        <v>0</v>
      </c>
      <c r="D10" s="10">
        <f>prompt2!B8</f>
        <v>0</v>
      </c>
      <c r="E10" s="10">
        <f>prompt3!B8</f>
        <v>0</v>
      </c>
      <c r="F10" s="10">
        <f>prompt4!B8</f>
        <v>0</v>
      </c>
      <c r="G10" s="10">
        <f>prompt5!B8</f>
        <v>0</v>
      </c>
      <c r="H10" s="11">
        <f t="shared" si="0"/>
        <v>1</v>
      </c>
      <c r="I10" s="12">
        <f t="shared" si="1"/>
        <v>1</v>
      </c>
      <c r="J10" s="5"/>
      <c r="K10" s="5"/>
      <c r="L10" s="6">
        <f t="shared" si="5"/>
        <v>7</v>
      </c>
      <c r="M10" s="7">
        <f>Actual!$B8</f>
        <v>0</v>
      </c>
      <c r="N10" s="10">
        <f>classify1!B8</f>
        <v>0</v>
      </c>
      <c r="O10" s="10">
        <f>classify2!B8</f>
        <v>0</v>
      </c>
      <c r="P10" s="10">
        <f>classify3!B8</f>
        <v>0</v>
      </c>
      <c r="Q10" s="10">
        <f>classify4!B8</f>
        <v>0</v>
      </c>
      <c r="R10" s="10">
        <f>classify5!B8</f>
        <v>0</v>
      </c>
      <c r="S10" s="11">
        <f t="shared" si="2"/>
        <v>1</v>
      </c>
      <c r="T10" s="12">
        <f t="shared" si="3"/>
        <v>1</v>
      </c>
    </row>
    <row r="11" spans="1:20" x14ac:dyDescent="0.3">
      <c r="A11" s="6">
        <f t="shared" si="4"/>
        <v>8</v>
      </c>
      <c r="B11" s="7">
        <f>Actual!$B9</f>
        <v>0</v>
      </c>
      <c r="C11" s="10">
        <f>prompt1!B9</f>
        <v>0</v>
      </c>
      <c r="D11" s="10">
        <f>prompt2!B9</f>
        <v>0</v>
      </c>
      <c r="E11" s="10">
        <f>prompt3!B9</f>
        <v>0</v>
      </c>
      <c r="F11" s="10">
        <f>prompt4!B9</f>
        <v>0</v>
      </c>
      <c r="G11" s="10">
        <f>prompt5!B9</f>
        <v>0</v>
      </c>
      <c r="H11" s="11">
        <f t="shared" si="0"/>
        <v>1</v>
      </c>
      <c r="I11" s="12">
        <f t="shared" si="1"/>
        <v>1</v>
      </c>
      <c r="J11" s="5"/>
      <c r="K11" s="5"/>
      <c r="L11" s="6">
        <f t="shared" si="5"/>
        <v>8</v>
      </c>
      <c r="M11" s="7">
        <f>Actual!$B9</f>
        <v>0</v>
      </c>
      <c r="N11" s="10">
        <f>classify1!B9</f>
        <v>0</v>
      </c>
      <c r="O11" s="10">
        <f>classify2!B9</f>
        <v>0</v>
      </c>
      <c r="P11" s="10">
        <f>classify3!B9</f>
        <v>0</v>
      </c>
      <c r="Q11" s="10">
        <f>classify4!B9</f>
        <v>0</v>
      </c>
      <c r="R11" s="10">
        <f>classify5!B9</f>
        <v>0</v>
      </c>
      <c r="S11" s="11">
        <f t="shared" si="2"/>
        <v>1</v>
      </c>
      <c r="T11" s="12">
        <f t="shared" si="3"/>
        <v>1</v>
      </c>
    </row>
    <row r="12" spans="1:20" x14ac:dyDescent="0.3">
      <c r="A12" s="6">
        <f t="shared" si="4"/>
        <v>9</v>
      </c>
      <c r="B12" s="7">
        <f>Actual!$B10</f>
        <v>1</v>
      </c>
      <c r="C12" s="10">
        <f>prompt1!B10</f>
        <v>1</v>
      </c>
      <c r="D12" s="10">
        <f>prompt2!B10</f>
        <v>1</v>
      </c>
      <c r="E12" s="10">
        <f>prompt3!B10</f>
        <v>1</v>
      </c>
      <c r="F12" s="10">
        <f>prompt4!B10</f>
        <v>1</v>
      </c>
      <c r="G12" s="10">
        <f>prompt5!B10</f>
        <v>1</v>
      </c>
      <c r="H12" s="11">
        <f t="shared" si="0"/>
        <v>1</v>
      </c>
      <c r="I12" s="12">
        <f t="shared" si="1"/>
        <v>1</v>
      </c>
      <c r="J12" s="5"/>
      <c r="K12" s="5"/>
      <c r="L12" s="6">
        <f t="shared" si="5"/>
        <v>9</v>
      </c>
      <c r="M12" s="7">
        <f>Actual!$B10</f>
        <v>1</v>
      </c>
      <c r="N12" s="10">
        <f>classify1!B10</f>
        <v>1</v>
      </c>
      <c r="O12" s="13">
        <f>classify2!B10</f>
        <v>0</v>
      </c>
      <c r="P12" s="10">
        <f>classify3!B10</f>
        <v>1</v>
      </c>
      <c r="Q12" s="10">
        <f>classify4!B10</f>
        <v>1</v>
      </c>
      <c r="R12" s="10">
        <f>classify5!B10</f>
        <v>1</v>
      </c>
      <c r="S12" s="11">
        <f t="shared" si="2"/>
        <v>0.8</v>
      </c>
      <c r="T12" s="12">
        <f t="shared" si="3"/>
        <v>0.8</v>
      </c>
    </row>
    <row r="13" spans="1:20" x14ac:dyDescent="0.3">
      <c r="A13" s="6">
        <f t="shared" si="4"/>
        <v>10</v>
      </c>
      <c r="B13" s="7">
        <f>Actual!$B11</f>
        <v>1</v>
      </c>
      <c r="C13" s="10">
        <f>prompt1!B11</f>
        <v>1</v>
      </c>
      <c r="D13" s="10">
        <f>prompt2!B11</f>
        <v>1</v>
      </c>
      <c r="E13" s="10">
        <f>prompt3!B11</f>
        <v>1</v>
      </c>
      <c r="F13" s="13">
        <f>prompt4!B11</f>
        <v>0</v>
      </c>
      <c r="G13" s="10">
        <f>prompt5!B11</f>
        <v>1</v>
      </c>
      <c r="H13" s="11">
        <f t="shared" si="0"/>
        <v>0.8</v>
      </c>
      <c r="I13" s="12">
        <f t="shared" si="1"/>
        <v>0.8</v>
      </c>
      <c r="J13" s="5"/>
      <c r="K13" s="5"/>
      <c r="L13" s="6">
        <f t="shared" si="5"/>
        <v>10</v>
      </c>
      <c r="M13" s="7">
        <f>Actual!$B11</f>
        <v>1</v>
      </c>
      <c r="N13" s="10">
        <f>classify1!B11</f>
        <v>1</v>
      </c>
      <c r="O13" s="10">
        <f>classify2!B11</f>
        <v>1</v>
      </c>
      <c r="P13" s="10">
        <f>classify3!B11</f>
        <v>1</v>
      </c>
      <c r="Q13" s="13">
        <f>classify4!B11</f>
        <v>0</v>
      </c>
      <c r="R13" s="10">
        <f>classify5!B11</f>
        <v>1</v>
      </c>
      <c r="S13" s="11">
        <f t="shared" si="2"/>
        <v>0.8</v>
      </c>
      <c r="T13" s="12">
        <f t="shared" si="3"/>
        <v>0.8</v>
      </c>
    </row>
    <row r="14" spans="1:20" x14ac:dyDescent="0.3">
      <c r="A14" s="6">
        <f t="shared" si="4"/>
        <v>11</v>
      </c>
      <c r="B14" s="7">
        <f>Actual!$B12</f>
        <v>0</v>
      </c>
      <c r="C14" s="10">
        <f>prompt1!B12</f>
        <v>0</v>
      </c>
      <c r="D14" s="10">
        <f>prompt2!B12</f>
        <v>0</v>
      </c>
      <c r="E14" s="10">
        <f>prompt3!B12</f>
        <v>0</v>
      </c>
      <c r="F14" s="10">
        <f>prompt4!B12</f>
        <v>0</v>
      </c>
      <c r="G14" s="10">
        <f>prompt5!B12</f>
        <v>0</v>
      </c>
      <c r="H14" s="11">
        <f t="shared" si="0"/>
        <v>1</v>
      </c>
      <c r="I14" s="12">
        <f t="shared" si="1"/>
        <v>1</v>
      </c>
      <c r="J14" s="5"/>
      <c r="K14" s="5"/>
      <c r="L14" s="6">
        <f t="shared" si="5"/>
        <v>11</v>
      </c>
      <c r="M14" s="7">
        <f>Actual!$B12</f>
        <v>0</v>
      </c>
      <c r="N14" s="10">
        <f>classify1!B12</f>
        <v>0</v>
      </c>
      <c r="O14" s="10">
        <f>classify2!B12</f>
        <v>0</v>
      </c>
      <c r="P14" s="10">
        <f>classify3!B12</f>
        <v>0</v>
      </c>
      <c r="Q14" s="10">
        <f>classify4!B12</f>
        <v>0</v>
      </c>
      <c r="R14" s="10">
        <f>classify5!B12</f>
        <v>0</v>
      </c>
      <c r="S14" s="11">
        <f t="shared" si="2"/>
        <v>1</v>
      </c>
      <c r="T14" s="12">
        <f t="shared" si="3"/>
        <v>1</v>
      </c>
    </row>
    <row r="15" spans="1:20" x14ac:dyDescent="0.3">
      <c r="A15" s="6">
        <f t="shared" si="4"/>
        <v>12</v>
      </c>
      <c r="B15" s="7">
        <f>Actual!$B13</f>
        <v>0</v>
      </c>
      <c r="C15" s="10">
        <f>prompt1!B13</f>
        <v>0</v>
      </c>
      <c r="D15" s="10">
        <f>prompt2!B13</f>
        <v>0</v>
      </c>
      <c r="E15" s="10">
        <f>prompt3!B13</f>
        <v>0</v>
      </c>
      <c r="F15" s="10">
        <f>prompt4!B13</f>
        <v>0</v>
      </c>
      <c r="G15" s="10">
        <f>prompt5!B13</f>
        <v>0</v>
      </c>
      <c r="H15" s="11">
        <f t="shared" si="0"/>
        <v>1</v>
      </c>
      <c r="I15" s="12">
        <f t="shared" si="1"/>
        <v>1</v>
      </c>
      <c r="J15" s="5"/>
      <c r="K15" s="5"/>
      <c r="L15" s="6">
        <f t="shared" si="5"/>
        <v>12</v>
      </c>
      <c r="M15" s="7">
        <f>Actual!$B13</f>
        <v>0</v>
      </c>
      <c r="N15" s="10">
        <f>classify1!B13</f>
        <v>0</v>
      </c>
      <c r="O15" s="10">
        <f>classify2!B13</f>
        <v>0</v>
      </c>
      <c r="P15" s="10">
        <f>classify3!B13</f>
        <v>0</v>
      </c>
      <c r="Q15" s="10">
        <f>classify4!B13</f>
        <v>0</v>
      </c>
      <c r="R15" s="10">
        <f>classify5!B13</f>
        <v>0</v>
      </c>
      <c r="S15" s="11">
        <f t="shared" si="2"/>
        <v>1</v>
      </c>
      <c r="T15" s="12">
        <f t="shared" si="3"/>
        <v>1</v>
      </c>
    </row>
    <row r="16" spans="1:20" x14ac:dyDescent="0.3">
      <c r="A16" s="6">
        <f t="shared" si="4"/>
        <v>13</v>
      </c>
      <c r="B16" s="7">
        <f>Actual!$B14</f>
        <v>1</v>
      </c>
      <c r="C16" s="10">
        <f>prompt1!B14</f>
        <v>1</v>
      </c>
      <c r="D16" s="10">
        <f>prompt2!B14</f>
        <v>1</v>
      </c>
      <c r="E16" s="10">
        <f>prompt3!B14</f>
        <v>1</v>
      </c>
      <c r="F16" s="10">
        <f>prompt4!B14</f>
        <v>1</v>
      </c>
      <c r="G16" s="10">
        <f>prompt5!B14</f>
        <v>1</v>
      </c>
      <c r="H16" s="11">
        <f t="shared" si="0"/>
        <v>1</v>
      </c>
      <c r="I16" s="12">
        <f t="shared" si="1"/>
        <v>1</v>
      </c>
      <c r="J16" s="5"/>
      <c r="K16" s="5"/>
      <c r="L16" s="6">
        <f t="shared" si="5"/>
        <v>13</v>
      </c>
      <c r="M16" s="7">
        <f>Actual!$B14</f>
        <v>1</v>
      </c>
      <c r="N16" s="10">
        <f>classify1!B14</f>
        <v>1</v>
      </c>
      <c r="O16" s="10">
        <f>classify2!B14</f>
        <v>1</v>
      </c>
      <c r="P16" s="10">
        <f>classify3!B14</f>
        <v>1</v>
      </c>
      <c r="Q16" s="10">
        <f>classify4!B14</f>
        <v>1</v>
      </c>
      <c r="R16" s="10">
        <f>classify5!B14</f>
        <v>1</v>
      </c>
      <c r="S16" s="11">
        <f t="shared" si="2"/>
        <v>1</v>
      </c>
      <c r="T16" s="12">
        <f t="shared" si="3"/>
        <v>1</v>
      </c>
    </row>
    <row r="17" spans="1:20" x14ac:dyDescent="0.3">
      <c r="A17" s="6">
        <f t="shared" si="4"/>
        <v>14</v>
      </c>
      <c r="B17" s="7">
        <f>Actual!$B15</f>
        <v>1</v>
      </c>
      <c r="C17" s="13">
        <f>prompt1!B15</f>
        <v>0</v>
      </c>
      <c r="D17" s="13">
        <f>prompt2!B15</f>
        <v>0</v>
      </c>
      <c r="E17" s="13">
        <f>prompt3!B15</f>
        <v>0</v>
      </c>
      <c r="F17" s="13">
        <f>prompt4!B15</f>
        <v>0</v>
      </c>
      <c r="G17" s="13">
        <f>prompt5!B15</f>
        <v>0</v>
      </c>
      <c r="H17" s="11">
        <f t="shared" si="0"/>
        <v>0</v>
      </c>
      <c r="I17" s="12">
        <f t="shared" si="1"/>
        <v>1</v>
      </c>
      <c r="J17" s="5"/>
      <c r="K17" s="5"/>
      <c r="L17" s="6">
        <f t="shared" si="5"/>
        <v>14</v>
      </c>
      <c r="M17" s="7">
        <f>Actual!$B15</f>
        <v>1</v>
      </c>
      <c r="N17" s="13">
        <f>classify1!B15</f>
        <v>0</v>
      </c>
      <c r="O17" s="13">
        <f>classify2!B15</f>
        <v>0</v>
      </c>
      <c r="P17" s="13">
        <f>classify3!B15</f>
        <v>0</v>
      </c>
      <c r="Q17" s="13">
        <f>classify4!B15</f>
        <v>0</v>
      </c>
      <c r="R17" s="13">
        <f>classify5!B15</f>
        <v>0</v>
      </c>
      <c r="S17" s="11">
        <f t="shared" si="2"/>
        <v>0</v>
      </c>
      <c r="T17" s="12">
        <f t="shared" si="3"/>
        <v>1</v>
      </c>
    </row>
    <row r="18" spans="1:20" x14ac:dyDescent="0.3">
      <c r="A18" s="6">
        <f t="shared" si="4"/>
        <v>15</v>
      </c>
      <c r="B18" s="7">
        <f>Actual!$B16</f>
        <v>0</v>
      </c>
      <c r="C18" s="10">
        <f>prompt1!B16</f>
        <v>0</v>
      </c>
      <c r="D18" s="10">
        <f>prompt2!B16</f>
        <v>0</v>
      </c>
      <c r="E18" s="10">
        <f>prompt3!B16</f>
        <v>0</v>
      </c>
      <c r="F18" s="10">
        <f>prompt4!B16</f>
        <v>0</v>
      </c>
      <c r="G18" s="10">
        <f>prompt5!B16</f>
        <v>0</v>
      </c>
      <c r="H18" s="11">
        <f t="shared" si="0"/>
        <v>1</v>
      </c>
      <c r="I18" s="12">
        <f t="shared" si="1"/>
        <v>1</v>
      </c>
      <c r="J18" s="5"/>
      <c r="K18" s="5"/>
      <c r="L18" s="6">
        <f t="shared" si="5"/>
        <v>15</v>
      </c>
      <c r="M18" s="7">
        <f>Actual!$B16</f>
        <v>0</v>
      </c>
      <c r="N18" s="10">
        <f>classify1!B16</f>
        <v>0</v>
      </c>
      <c r="O18" s="10">
        <f>classify2!B16</f>
        <v>0</v>
      </c>
      <c r="P18" s="10">
        <f>classify3!B16</f>
        <v>0</v>
      </c>
      <c r="Q18" s="10">
        <f>classify4!B16</f>
        <v>0</v>
      </c>
      <c r="R18" s="10">
        <f>classify5!B16</f>
        <v>0</v>
      </c>
      <c r="S18" s="11">
        <f t="shared" si="2"/>
        <v>1</v>
      </c>
      <c r="T18" s="12">
        <f t="shared" si="3"/>
        <v>1</v>
      </c>
    </row>
    <row r="19" spans="1:20" x14ac:dyDescent="0.3">
      <c r="A19" s="6">
        <f t="shared" si="4"/>
        <v>16</v>
      </c>
      <c r="B19" s="7">
        <f>Actual!$B17</f>
        <v>1</v>
      </c>
      <c r="C19" s="10">
        <f>prompt1!B17</f>
        <v>1</v>
      </c>
      <c r="D19" s="10">
        <f>prompt2!B17</f>
        <v>1</v>
      </c>
      <c r="E19" s="10">
        <f>prompt3!B17</f>
        <v>1</v>
      </c>
      <c r="F19" s="10">
        <f>prompt4!B17</f>
        <v>1</v>
      </c>
      <c r="G19" s="10">
        <f>prompt5!B17</f>
        <v>1</v>
      </c>
      <c r="H19" s="11">
        <f t="shared" si="0"/>
        <v>1</v>
      </c>
      <c r="I19" s="12">
        <f t="shared" si="1"/>
        <v>1</v>
      </c>
      <c r="J19" s="5"/>
      <c r="K19" s="5"/>
      <c r="L19" s="6">
        <f t="shared" si="5"/>
        <v>16</v>
      </c>
      <c r="M19" s="7">
        <f>Actual!$B17</f>
        <v>1</v>
      </c>
      <c r="N19" s="10">
        <f>classify1!B17</f>
        <v>1</v>
      </c>
      <c r="O19" s="10">
        <f>classify2!B17</f>
        <v>1</v>
      </c>
      <c r="P19" s="10">
        <f>classify3!B17</f>
        <v>1</v>
      </c>
      <c r="Q19" s="10">
        <f>classify4!B17</f>
        <v>1</v>
      </c>
      <c r="R19" s="10">
        <f>classify5!B17</f>
        <v>1</v>
      </c>
      <c r="S19" s="11">
        <f t="shared" si="2"/>
        <v>1</v>
      </c>
      <c r="T19" s="12">
        <f t="shared" si="3"/>
        <v>1</v>
      </c>
    </row>
    <row r="20" spans="1:20" x14ac:dyDescent="0.3">
      <c r="A20" s="6">
        <f t="shared" si="4"/>
        <v>17</v>
      </c>
      <c r="B20" s="7">
        <f>Actual!$B18</f>
        <v>0</v>
      </c>
      <c r="C20" s="10">
        <f>prompt1!B18</f>
        <v>0</v>
      </c>
      <c r="D20" s="10">
        <f>prompt2!B18</f>
        <v>0</v>
      </c>
      <c r="E20" s="10">
        <f>prompt3!B18</f>
        <v>0</v>
      </c>
      <c r="F20" s="10">
        <f>prompt4!B18</f>
        <v>0</v>
      </c>
      <c r="G20" s="10">
        <f>prompt5!B18</f>
        <v>0</v>
      </c>
      <c r="H20" s="11">
        <f t="shared" si="0"/>
        <v>1</v>
      </c>
      <c r="I20" s="12">
        <f t="shared" si="1"/>
        <v>1</v>
      </c>
      <c r="J20" s="5"/>
      <c r="K20" s="5"/>
      <c r="L20" s="6">
        <f t="shared" si="5"/>
        <v>17</v>
      </c>
      <c r="M20" s="7">
        <f>Actual!$B18</f>
        <v>0</v>
      </c>
      <c r="N20" s="10">
        <f>classify1!B18</f>
        <v>0</v>
      </c>
      <c r="O20" s="10">
        <f>classify2!B18</f>
        <v>0</v>
      </c>
      <c r="P20" s="10">
        <f>classify3!B18</f>
        <v>0</v>
      </c>
      <c r="Q20" s="10">
        <f>classify4!B18</f>
        <v>0</v>
      </c>
      <c r="R20" s="10">
        <f>classify5!B18</f>
        <v>0</v>
      </c>
      <c r="S20" s="11">
        <f t="shared" si="2"/>
        <v>1</v>
      </c>
      <c r="T20" s="12">
        <f t="shared" si="3"/>
        <v>1</v>
      </c>
    </row>
    <row r="21" spans="1:20" x14ac:dyDescent="0.3">
      <c r="A21" s="6">
        <f t="shared" si="4"/>
        <v>18</v>
      </c>
      <c r="B21" s="7">
        <f>Actual!$B19</f>
        <v>1</v>
      </c>
      <c r="C21" s="10">
        <f>prompt1!B19</f>
        <v>1</v>
      </c>
      <c r="D21" s="10">
        <f>prompt2!B19</f>
        <v>1</v>
      </c>
      <c r="E21" s="10">
        <f>prompt3!B19</f>
        <v>1</v>
      </c>
      <c r="F21" s="10">
        <f>prompt4!B19</f>
        <v>1</v>
      </c>
      <c r="G21" s="10">
        <f>prompt5!B19</f>
        <v>1</v>
      </c>
      <c r="H21" s="11">
        <f t="shared" si="0"/>
        <v>1</v>
      </c>
      <c r="I21" s="12">
        <f t="shared" si="1"/>
        <v>1</v>
      </c>
      <c r="J21" s="5"/>
      <c r="K21" s="5"/>
      <c r="L21" s="6">
        <f t="shared" si="5"/>
        <v>18</v>
      </c>
      <c r="M21" s="7">
        <f>Actual!$B19</f>
        <v>1</v>
      </c>
      <c r="N21" s="10">
        <f>classify1!B19</f>
        <v>1</v>
      </c>
      <c r="O21" s="10">
        <f>classify2!B19</f>
        <v>1</v>
      </c>
      <c r="P21" s="10">
        <f>classify3!B19</f>
        <v>1</v>
      </c>
      <c r="Q21" s="10">
        <f>classify4!B19</f>
        <v>1</v>
      </c>
      <c r="R21" s="10">
        <f>classify5!B19</f>
        <v>1</v>
      </c>
      <c r="S21" s="11">
        <f t="shared" si="2"/>
        <v>1</v>
      </c>
      <c r="T21" s="12">
        <f t="shared" si="3"/>
        <v>1</v>
      </c>
    </row>
    <row r="22" spans="1:20" x14ac:dyDescent="0.3">
      <c r="A22" s="6">
        <f t="shared" si="4"/>
        <v>19</v>
      </c>
      <c r="B22" s="7">
        <f>Actual!$B20</f>
        <v>1</v>
      </c>
      <c r="C22" s="10">
        <f>prompt1!B20</f>
        <v>1</v>
      </c>
      <c r="D22" s="10">
        <f>prompt2!B20</f>
        <v>1</v>
      </c>
      <c r="E22" s="10">
        <f>prompt3!B20</f>
        <v>1</v>
      </c>
      <c r="F22" s="10">
        <f>prompt4!B20</f>
        <v>1</v>
      </c>
      <c r="G22" s="10">
        <f>prompt5!B20</f>
        <v>1</v>
      </c>
      <c r="H22" s="11">
        <f t="shared" si="0"/>
        <v>1</v>
      </c>
      <c r="I22" s="12">
        <f t="shared" si="1"/>
        <v>1</v>
      </c>
      <c r="J22" s="5"/>
      <c r="K22" s="5"/>
      <c r="L22" s="6">
        <f t="shared" si="5"/>
        <v>19</v>
      </c>
      <c r="M22" s="7">
        <f>Actual!$B20</f>
        <v>1</v>
      </c>
      <c r="N22" s="10">
        <f>classify1!B20</f>
        <v>1</v>
      </c>
      <c r="O22" s="10">
        <f>classify2!B20</f>
        <v>1</v>
      </c>
      <c r="P22" s="10">
        <f>classify3!B20</f>
        <v>1</v>
      </c>
      <c r="Q22" s="10">
        <f>classify4!B20</f>
        <v>1</v>
      </c>
      <c r="R22" s="10">
        <f>classify5!B20</f>
        <v>1</v>
      </c>
      <c r="S22" s="11">
        <f t="shared" si="2"/>
        <v>1</v>
      </c>
      <c r="T22" s="12">
        <f t="shared" si="3"/>
        <v>1</v>
      </c>
    </row>
    <row r="23" spans="1:20" x14ac:dyDescent="0.3">
      <c r="A23" s="6">
        <f t="shared" si="4"/>
        <v>20</v>
      </c>
      <c r="B23" s="7">
        <f>Actual!$B21</f>
        <v>1</v>
      </c>
      <c r="C23" s="10">
        <f>prompt1!B21</f>
        <v>1</v>
      </c>
      <c r="D23" s="10">
        <f>prompt2!B21</f>
        <v>1</v>
      </c>
      <c r="E23" s="10">
        <f>prompt3!B21</f>
        <v>1</v>
      </c>
      <c r="F23" s="10">
        <f>prompt4!B21</f>
        <v>1</v>
      </c>
      <c r="G23" s="10">
        <f>prompt5!B21</f>
        <v>1</v>
      </c>
      <c r="H23" s="11">
        <f t="shared" si="0"/>
        <v>1</v>
      </c>
      <c r="I23" s="12">
        <f t="shared" si="1"/>
        <v>1</v>
      </c>
      <c r="J23" s="5"/>
      <c r="K23" s="5"/>
      <c r="L23" s="6">
        <f t="shared" si="5"/>
        <v>20</v>
      </c>
      <c r="M23" s="7">
        <f>Actual!$B21</f>
        <v>1</v>
      </c>
      <c r="N23" s="10">
        <f>classify1!B21</f>
        <v>1</v>
      </c>
      <c r="O23" s="10">
        <f>classify2!B21</f>
        <v>1</v>
      </c>
      <c r="P23" s="10">
        <f>classify3!B21</f>
        <v>1</v>
      </c>
      <c r="Q23" s="10">
        <f>classify4!B21</f>
        <v>1</v>
      </c>
      <c r="R23" s="10">
        <f>classify5!B21</f>
        <v>1</v>
      </c>
      <c r="S23" s="11">
        <f t="shared" si="2"/>
        <v>1</v>
      </c>
      <c r="T23" s="12">
        <f t="shared" si="3"/>
        <v>1</v>
      </c>
    </row>
    <row r="24" spans="1:20" x14ac:dyDescent="0.3">
      <c r="A24" s="6">
        <f t="shared" si="4"/>
        <v>21</v>
      </c>
      <c r="B24" s="7">
        <f>Actual!$B22</f>
        <v>0</v>
      </c>
      <c r="C24" s="13">
        <f>prompt1!B22</f>
        <v>1</v>
      </c>
      <c r="D24" s="10">
        <f>prompt2!B22</f>
        <v>0</v>
      </c>
      <c r="E24" s="10">
        <f>prompt3!B22</f>
        <v>0</v>
      </c>
      <c r="F24" s="13">
        <f>prompt4!B22</f>
        <v>1</v>
      </c>
      <c r="G24" s="13">
        <f>prompt5!B22</f>
        <v>1</v>
      </c>
      <c r="H24" s="11">
        <f t="shared" si="0"/>
        <v>0.4</v>
      </c>
      <c r="I24" s="12">
        <f t="shared" si="1"/>
        <v>0.6</v>
      </c>
      <c r="J24" s="5"/>
      <c r="K24" s="5"/>
      <c r="L24" s="6">
        <f t="shared" si="5"/>
        <v>21</v>
      </c>
      <c r="M24" s="7">
        <f>Actual!$B22</f>
        <v>0</v>
      </c>
      <c r="N24" s="13">
        <f>classify1!B22</f>
        <v>1</v>
      </c>
      <c r="O24" s="13">
        <f>classify2!B22</f>
        <v>1</v>
      </c>
      <c r="P24" s="13">
        <f>classify3!B22</f>
        <v>1</v>
      </c>
      <c r="Q24" s="13">
        <f>classify4!B22</f>
        <v>1</v>
      </c>
      <c r="R24" s="13">
        <f>classify5!B22</f>
        <v>1</v>
      </c>
      <c r="S24" s="11">
        <f t="shared" si="2"/>
        <v>0</v>
      </c>
      <c r="T24" s="12">
        <f t="shared" si="3"/>
        <v>1</v>
      </c>
    </row>
    <row r="25" spans="1:20" x14ac:dyDescent="0.3">
      <c r="A25" s="6">
        <f t="shared" si="4"/>
        <v>22</v>
      </c>
      <c r="B25" s="7">
        <f>Actual!$B23</f>
        <v>1</v>
      </c>
      <c r="C25" s="10">
        <f>prompt1!B23</f>
        <v>1</v>
      </c>
      <c r="D25" s="10">
        <f>prompt2!B23</f>
        <v>1</v>
      </c>
      <c r="E25" s="10">
        <f>prompt3!B23</f>
        <v>1</v>
      </c>
      <c r="F25" s="10">
        <f>prompt4!B23</f>
        <v>1</v>
      </c>
      <c r="G25" s="10">
        <f>prompt5!B23</f>
        <v>1</v>
      </c>
      <c r="H25" s="11">
        <f t="shared" si="0"/>
        <v>1</v>
      </c>
      <c r="I25" s="12">
        <f t="shared" si="1"/>
        <v>1</v>
      </c>
      <c r="J25" s="5"/>
      <c r="K25" s="5"/>
      <c r="L25" s="6">
        <f t="shared" si="5"/>
        <v>22</v>
      </c>
      <c r="M25" s="7">
        <f>Actual!$B23</f>
        <v>1</v>
      </c>
      <c r="N25" s="10">
        <f>classify1!B23</f>
        <v>1</v>
      </c>
      <c r="O25" s="10">
        <f>classify2!B23</f>
        <v>1</v>
      </c>
      <c r="P25" s="10">
        <f>classify3!B23</f>
        <v>1</v>
      </c>
      <c r="Q25" s="10">
        <f>classify4!B23</f>
        <v>1</v>
      </c>
      <c r="R25" s="10">
        <f>classify5!B23</f>
        <v>1</v>
      </c>
      <c r="S25" s="11">
        <f t="shared" si="2"/>
        <v>1</v>
      </c>
      <c r="T25" s="12">
        <f t="shared" si="3"/>
        <v>1</v>
      </c>
    </row>
    <row r="26" spans="1:20" x14ac:dyDescent="0.3">
      <c r="A26" s="6">
        <f t="shared" si="4"/>
        <v>23</v>
      </c>
      <c r="B26" s="7">
        <f>Actual!$B24</f>
        <v>1</v>
      </c>
      <c r="C26" s="10">
        <f>prompt1!B24</f>
        <v>1</v>
      </c>
      <c r="D26" s="10">
        <f>prompt2!B24</f>
        <v>1</v>
      </c>
      <c r="E26" s="10">
        <f>prompt3!B24</f>
        <v>1</v>
      </c>
      <c r="F26" s="10">
        <f>prompt4!B24</f>
        <v>1</v>
      </c>
      <c r="G26" s="10">
        <f>prompt5!B24</f>
        <v>1</v>
      </c>
      <c r="H26" s="11">
        <f t="shared" si="0"/>
        <v>1</v>
      </c>
      <c r="I26" s="12">
        <f t="shared" si="1"/>
        <v>1</v>
      </c>
      <c r="J26" s="5"/>
      <c r="K26" s="5"/>
      <c r="L26" s="6">
        <f t="shared" si="5"/>
        <v>23</v>
      </c>
      <c r="M26" s="7">
        <f>Actual!$B24</f>
        <v>1</v>
      </c>
      <c r="N26" s="10">
        <f>classify1!B24</f>
        <v>1</v>
      </c>
      <c r="O26" s="10">
        <f>classify2!B24</f>
        <v>1</v>
      </c>
      <c r="P26" s="10">
        <f>classify3!B24</f>
        <v>1</v>
      </c>
      <c r="Q26" s="10">
        <f>classify4!B24</f>
        <v>1</v>
      </c>
      <c r="R26" s="10">
        <f>classify5!B24</f>
        <v>1</v>
      </c>
      <c r="S26" s="11">
        <f t="shared" si="2"/>
        <v>1</v>
      </c>
      <c r="T26" s="12">
        <f t="shared" si="3"/>
        <v>1</v>
      </c>
    </row>
    <row r="27" spans="1:20" x14ac:dyDescent="0.3">
      <c r="A27" s="6">
        <f t="shared" si="4"/>
        <v>24</v>
      </c>
      <c r="B27" s="7">
        <f>Actual!$B25</f>
        <v>1</v>
      </c>
      <c r="C27" s="10">
        <f>prompt1!B25</f>
        <v>1</v>
      </c>
      <c r="D27" s="10">
        <f>prompt2!B25</f>
        <v>1</v>
      </c>
      <c r="E27" s="10">
        <f>prompt3!B25</f>
        <v>1</v>
      </c>
      <c r="F27" s="10">
        <f>prompt4!B25</f>
        <v>1</v>
      </c>
      <c r="G27" s="10">
        <f>prompt5!B25</f>
        <v>1</v>
      </c>
      <c r="H27" s="11">
        <f t="shared" si="0"/>
        <v>1</v>
      </c>
      <c r="I27" s="12">
        <f t="shared" si="1"/>
        <v>1</v>
      </c>
      <c r="J27" s="5"/>
      <c r="K27" s="5"/>
      <c r="L27" s="6">
        <f t="shared" si="5"/>
        <v>24</v>
      </c>
      <c r="M27" s="7">
        <f>Actual!$B25</f>
        <v>1</v>
      </c>
      <c r="N27" s="10">
        <f>classify1!B25</f>
        <v>1</v>
      </c>
      <c r="O27" s="10">
        <f>classify2!B25</f>
        <v>1</v>
      </c>
      <c r="P27" s="10">
        <f>classify3!B25</f>
        <v>1</v>
      </c>
      <c r="Q27" s="10">
        <f>classify4!B25</f>
        <v>1</v>
      </c>
      <c r="R27" s="10">
        <f>classify5!B25</f>
        <v>1</v>
      </c>
      <c r="S27" s="11">
        <f t="shared" si="2"/>
        <v>1</v>
      </c>
      <c r="T27" s="12">
        <f t="shared" si="3"/>
        <v>1</v>
      </c>
    </row>
    <row r="28" spans="1:20" x14ac:dyDescent="0.3">
      <c r="A28" s="6">
        <f t="shared" si="4"/>
        <v>25</v>
      </c>
      <c r="B28" s="7">
        <f>Actual!$B26</f>
        <v>1</v>
      </c>
      <c r="C28" s="10">
        <f>prompt1!B26</f>
        <v>1</v>
      </c>
      <c r="D28" s="10">
        <f>prompt2!B26</f>
        <v>1</v>
      </c>
      <c r="E28" s="10">
        <f>prompt3!B26</f>
        <v>1</v>
      </c>
      <c r="F28" s="10">
        <f>prompt4!B26</f>
        <v>1</v>
      </c>
      <c r="G28" s="10">
        <f>prompt5!B26</f>
        <v>1</v>
      </c>
      <c r="H28" s="11">
        <f t="shared" si="0"/>
        <v>1</v>
      </c>
      <c r="I28" s="12">
        <f t="shared" si="1"/>
        <v>1</v>
      </c>
      <c r="J28" s="5"/>
      <c r="K28" s="5"/>
      <c r="L28" s="6">
        <f t="shared" si="5"/>
        <v>25</v>
      </c>
      <c r="M28" s="7">
        <f>Actual!$B26</f>
        <v>1</v>
      </c>
      <c r="N28" s="10">
        <f>classify1!B26</f>
        <v>1</v>
      </c>
      <c r="O28" s="10">
        <f>classify2!B26</f>
        <v>1</v>
      </c>
      <c r="P28" s="10">
        <f>classify3!B26</f>
        <v>1</v>
      </c>
      <c r="Q28" s="10">
        <f>classify4!B26</f>
        <v>1</v>
      </c>
      <c r="R28" s="10">
        <f>classify5!B26</f>
        <v>1</v>
      </c>
      <c r="S28" s="11">
        <f t="shared" si="2"/>
        <v>1</v>
      </c>
      <c r="T28" s="12">
        <f t="shared" si="3"/>
        <v>1</v>
      </c>
    </row>
    <row r="29" spans="1:20" x14ac:dyDescent="0.3">
      <c r="A29" s="6">
        <f t="shared" si="4"/>
        <v>26</v>
      </c>
      <c r="B29" s="7">
        <f>Actual!$B27</f>
        <v>1</v>
      </c>
      <c r="C29" s="10">
        <f>prompt1!B27</f>
        <v>1</v>
      </c>
      <c r="D29" s="10">
        <f>prompt2!B27</f>
        <v>1</v>
      </c>
      <c r="E29" s="10">
        <f>prompt3!B27</f>
        <v>1</v>
      </c>
      <c r="F29" s="10">
        <f>prompt4!B27</f>
        <v>1</v>
      </c>
      <c r="G29" s="10">
        <f>prompt5!B27</f>
        <v>1</v>
      </c>
      <c r="H29" s="11">
        <f t="shared" si="0"/>
        <v>1</v>
      </c>
      <c r="I29" s="12">
        <f t="shared" si="1"/>
        <v>1</v>
      </c>
      <c r="J29" s="5"/>
      <c r="K29" s="5"/>
      <c r="L29" s="6">
        <f t="shared" si="5"/>
        <v>26</v>
      </c>
      <c r="M29" s="7">
        <f>Actual!$B27</f>
        <v>1</v>
      </c>
      <c r="N29" s="10">
        <f>classify1!B27</f>
        <v>1</v>
      </c>
      <c r="O29" s="10">
        <f>classify2!B27</f>
        <v>1</v>
      </c>
      <c r="P29" s="10">
        <f>classify3!B27</f>
        <v>1</v>
      </c>
      <c r="Q29" s="10">
        <f>classify4!B27</f>
        <v>1</v>
      </c>
      <c r="R29" s="10">
        <f>classify5!B27</f>
        <v>1</v>
      </c>
      <c r="S29" s="11">
        <f t="shared" si="2"/>
        <v>1</v>
      </c>
      <c r="T29" s="12">
        <f t="shared" si="3"/>
        <v>1</v>
      </c>
    </row>
    <row r="30" spans="1:20" x14ac:dyDescent="0.3">
      <c r="A30" s="6">
        <f t="shared" si="4"/>
        <v>27</v>
      </c>
      <c r="B30" s="7">
        <f>Actual!$B28</f>
        <v>1</v>
      </c>
      <c r="C30" s="10">
        <f>prompt1!B28</f>
        <v>1</v>
      </c>
      <c r="D30" s="10">
        <f>prompt2!B28</f>
        <v>1</v>
      </c>
      <c r="E30" s="10">
        <f>prompt3!B28</f>
        <v>1</v>
      </c>
      <c r="F30" s="10">
        <f>prompt4!B28</f>
        <v>1</v>
      </c>
      <c r="G30" s="10">
        <f>prompt5!B28</f>
        <v>1</v>
      </c>
      <c r="H30" s="11">
        <f t="shared" si="0"/>
        <v>1</v>
      </c>
      <c r="I30" s="12">
        <f t="shared" si="1"/>
        <v>1</v>
      </c>
      <c r="J30" s="5"/>
      <c r="K30" s="5"/>
      <c r="L30" s="6">
        <f t="shared" si="5"/>
        <v>27</v>
      </c>
      <c r="M30" s="7">
        <f>Actual!$B28</f>
        <v>1</v>
      </c>
      <c r="N30" s="10">
        <f>classify1!B28</f>
        <v>1</v>
      </c>
      <c r="O30" s="10">
        <f>classify2!B28</f>
        <v>1</v>
      </c>
      <c r="P30" s="10">
        <f>classify3!B28</f>
        <v>1</v>
      </c>
      <c r="Q30" s="10">
        <f>classify4!B28</f>
        <v>1</v>
      </c>
      <c r="R30" s="10">
        <f>classify5!B28</f>
        <v>1</v>
      </c>
      <c r="S30" s="11">
        <f t="shared" si="2"/>
        <v>1</v>
      </c>
      <c r="T30" s="12">
        <f t="shared" si="3"/>
        <v>1</v>
      </c>
    </row>
    <row r="31" spans="1:20" x14ac:dyDescent="0.3">
      <c r="A31" s="6">
        <f t="shared" si="4"/>
        <v>28</v>
      </c>
      <c r="B31" s="7">
        <f>Actual!$B29</f>
        <v>0</v>
      </c>
      <c r="C31" s="13">
        <f>prompt1!B29</f>
        <v>1</v>
      </c>
      <c r="D31" s="13">
        <f>prompt2!B29</f>
        <v>1</v>
      </c>
      <c r="E31" s="13">
        <f>prompt3!B29</f>
        <v>1</v>
      </c>
      <c r="F31" s="13">
        <f>prompt4!B29</f>
        <v>1</v>
      </c>
      <c r="G31" s="13">
        <f>prompt5!B29</f>
        <v>1</v>
      </c>
      <c r="H31" s="11">
        <f t="shared" si="0"/>
        <v>0</v>
      </c>
      <c r="I31" s="12">
        <f t="shared" si="1"/>
        <v>1</v>
      </c>
      <c r="J31" s="5"/>
      <c r="K31" s="5"/>
      <c r="L31" s="6">
        <f t="shared" si="5"/>
        <v>28</v>
      </c>
      <c r="M31" s="7">
        <f>Actual!$B29</f>
        <v>0</v>
      </c>
      <c r="N31" s="13">
        <f>classify1!B29</f>
        <v>1</v>
      </c>
      <c r="O31" s="13">
        <f>classify2!B29</f>
        <v>1</v>
      </c>
      <c r="P31" s="13">
        <f>classify3!B29</f>
        <v>1</v>
      </c>
      <c r="Q31" s="13">
        <f>classify4!B29</f>
        <v>1</v>
      </c>
      <c r="R31" s="13">
        <f>classify5!B29</f>
        <v>1</v>
      </c>
      <c r="S31" s="11">
        <f t="shared" si="2"/>
        <v>0</v>
      </c>
      <c r="T31" s="12">
        <f t="shared" si="3"/>
        <v>1</v>
      </c>
    </row>
    <row r="32" spans="1:20" x14ac:dyDescent="0.3">
      <c r="A32" s="6">
        <f t="shared" si="4"/>
        <v>29</v>
      </c>
      <c r="B32" s="7">
        <f>Actual!$B30</f>
        <v>1</v>
      </c>
      <c r="C32" s="10">
        <f>prompt1!B30</f>
        <v>1</v>
      </c>
      <c r="D32" s="10">
        <f>prompt2!B30</f>
        <v>1</v>
      </c>
      <c r="E32" s="10">
        <f>prompt3!B30</f>
        <v>1</v>
      </c>
      <c r="F32" s="10">
        <f>prompt4!B30</f>
        <v>1</v>
      </c>
      <c r="G32" s="10">
        <f>prompt5!B30</f>
        <v>1</v>
      </c>
      <c r="H32" s="11">
        <f t="shared" si="0"/>
        <v>1</v>
      </c>
      <c r="I32" s="12">
        <f t="shared" si="1"/>
        <v>1</v>
      </c>
      <c r="J32" s="5"/>
      <c r="K32" s="5"/>
      <c r="L32" s="6">
        <f t="shared" si="5"/>
        <v>29</v>
      </c>
      <c r="M32" s="7">
        <f>Actual!$B30</f>
        <v>1</v>
      </c>
      <c r="N32" s="10">
        <f>classify1!B30</f>
        <v>1</v>
      </c>
      <c r="O32" s="13">
        <f>classify2!B30</f>
        <v>0</v>
      </c>
      <c r="P32" s="10">
        <f>classify3!B30</f>
        <v>1</v>
      </c>
      <c r="Q32" s="10">
        <f>classify4!B30</f>
        <v>1</v>
      </c>
      <c r="R32" s="10">
        <f>classify5!B30</f>
        <v>1</v>
      </c>
      <c r="S32" s="11">
        <f t="shared" si="2"/>
        <v>0.8</v>
      </c>
      <c r="T32" s="12">
        <f t="shared" si="3"/>
        <v>0.8</v>
      </c>
    </row>
    <row r="33" spans="1:20" x14ac:dyDescent="0.3">
      <c r="A33" s="6">
        <f t="shared" si="4"/>
        <v>30</v>
      </c>
      <c r="B33" s="7">
        <f>Actual!$B31</f>
        <v>0</v>
      </c>
      <c r="C33" s="10">
        <f>prompt1!B31</f>
        <v>0</v>
      </c>
      <c r="D33" s="10">
        <f>prompt2!B31</f>
        <v>0</v>
      </c>
      <c r="E33" s="10">
        <f>prompt3!B31</f>
        <v>0</v>
      </c>
      <c r="F33" s="10">
        <f>prompt4!B31</f>
        <v>0</v>
      </c>
      <c r="G33" s="10">
        <f>prompt5!B31</f>
        <v>0</v>
      </c>
      <c r="H33" s="11">
        <f t="shared" si="0"/>
        <v>1</v>
      </c>
      <c r="I33" s="12">
        <f t="shared" si="1"/>
        <v>1</v>
      </c>
      <c r="J33" s="5"/>
      <c r="K33" s="5"/>
      <c r="L33" s="6">
        <f t="shared" si="5"/>
        <v>30</v>
      </c>
      <c r="M33" s="7">
        <f>Actual!$B31</f>
        <v>0</v>
      </c>
      <c r="N33" s="10">
        <f>classify1!B31</f>
        <v>0</v>
      </c>
      <c r="O33" s="10">
        <f>classify2!B31</f>
        <v>0</v>
      </c>
      <c r="P33" s="10">
        <f>classify3!B31</f>
        <v>0</v>
      </c>
      <c r="Q33" s="10">
        <f>classify4!B31</f>
        <v>0</v>
      </c>
      <c r="R33" s="10">
        <f>classify5!B31</f>
        <v>0</v>
      </c>
      <c r="S33" s="11">
        <f t="shared" si="2"/>
        <v>1</v>
      </c>
      <c r="T33" s="12">
        <f t="shared" si="3"/>
        <v>1</v>
      </c>
    </row>
    <row r="34" spans="1:20" x14ac:dyDescent="0.3">
      <c r="A34" s="6">
        <f t="shared" si="4"/>
        <v>31</v>
      </c>
      <c r="B34" s="7">
        <f>Actual!$B32</f>
        <v>1</v>
      </c>
      <c r="C34" s="10">
        <f>prompt1!B32</f>
        <v>1</v>
      </c>
      <c r="D34" s="10">
        <f>prompt2!B32</f>
        <v>1</v>
      </c>
      <c r="E34" s="10">
        <f>prompt3!B32</f>
        <v>1</v>
      </c>
      <c r="F34" s="10">
        <f>prompt4!B32</f>
        <v>1</v>
      </c>
      <c r="G34" s="10">
        <f>prompt5!B32</f>
        <v>1</v>
      </c>
      <c r="H34" s="11">
        <f t="shared" si="0"/>
        <v>1</v>
      </c>
      <c r="I34" s="12">
        <f t="shared" si="1"/>
        <v>1</v>
      </c>
      <c r="J34" s="5"/>
      <c r="K34" s="5"/>
      <c r="L34" s="6">
        <f t="shared" si="5"/>
        <v>31</v>
      </c>
      <c r="M34" s="7">
        <f>Actual!$B32</f>
        <v>1</v>
      </c>
      <c r="N34" s="10">
        <f>classify1!B32</f>
        <v>1</v>
      </c>
      <c r="O34" s="10">
        <f>classify2!B32</f>
        <v>1</v>
      </c>
      <c r="P34" s="10">
        <f>classify3!B32</f>
        <v>1</v>
      </c>
      <c r="Q34" s="10">
        <f>classify4!B32</f>
        <v>1</v>
      </c>
      <c r="R34" s="10">
        <f>classify5!B32</f>
        <v>1</v>
      </c>
      <c r="S34" s="11">
        <f t="shared" si="2"/>
        <v>1</v>
      </c>
      <c r="T34" s="12">
        <f t="shared" si="3"/>
        <v>1</v>
      </c>
    </row>
    <row r="35" spans="1:20" x14ac:dyDescent="0.3">
      <c r="A35" s="6">
        <f t="shared" si="4"/>
        <v>32</v>
      </c>
      <c r="B35" s="7">
        <f>Actual!$B33</f>
        <v>0</v>
      </c>
      <c r="C35" s="10">
        <f>prompt1!B33</f>
        <v>0</v>
      </c>
      <c r="D35" s="10">
        <f>prompt2!B33</f>
        <v>0</v>
      </c>
      <c r="E35" s="10">
        <f>prompt3!B33</f>
        <v>0</v>
      </c>
      <c r="F35" s="10">
        <f>prompt4!B33</f>
        <v>0</v>
      </c>
      <c r="G35" s="10">
        <f>prompt5!B33</f>
        <v>0</v>
      </c>
      <c r="H35" s="11">
        <f t="shared" si="0"/>
        <v>1</v>
      </c>
      <c r="I35" s="12">
        <f t="shared" si="1"/>
        <v>1</v>
      </c>
      <c r="J35" s="5"/>
      <c r="K35" s="5"/>
      <c r="L35" s="6">
        <f t="shared" si="5"/>
        <v>32</v>
      </c>
      <c r="M35" s="7">
        <f>Actual!$B33</f>
        <v>0</v>
      </c>
      <c r="N35" s="10">
        <f>classify1!B33</f>
        <v>0</v>
      </c>
      <c r="O35" s="10">
        <f>classify2!B33</f>
        <v>0</v>
      </c>
      <c r="P35" s="10">
        <f>classify3!B33</f>
        <v>0</v>
      </c>
      <c r="Q35" s="10">
        <f>classify4!B33</f>
        <v>0</v>
      </c>
      <c r="R35" s="10">
        <f>classify5!B33</f>
        <v>0</v>
      </c>
      <c r="S35" s="11">
        <f t="shared" si="2"/>
        <v>1</v>
      </c>
      <c r="T35" s="12">
        <f t="shared" si="3"/>
        <v>1</v>
      </c>
    </row>
    <row r="36" spans="1:20" x14ac:dyDescent="0.3">
      <c r="A36" s="6">
        <f t="shared" si="4"/>
        <v>33</v>
      </c>
      <c r="B36" s="7">
        <f>Actual!$B34</f>
        <v>0</v>
      </c>
      <c r="C36" s="10">
        <f>prompt1!B34</f>
        <v>0</v>
      </c>
      <c r="D36" s="10">
        <f>prompt2!B34</f>
        <v>0</v>
      </c>
      <c r="E36" s="10">
        <f>prompt3!B34</f>
        <v>0</v>
      </c>
      <c r="F36" s="10">
        <f>prompt4!B34</f>
        <v>0</v>
      </c>
      <c r="G36" s="10">
        <f>prompt5!B34</f>
        <v>0</v>
      </c>
      <c r="H36" s="11">
        <f t="shared" si="0"/>
        <v>1</v>
      </c>
      <c r="I36" s="12">
        <f t="shared" si="1"/>
        <v>1</v>
      </c>
      <c r="J36" s="5"/>
      <c r="K36" s="5"/>
      <c r="L36" s="6">
        <f t="shared" si="5"/>
        <v>33</v>
      </c>
      <c r="M36" s="7">
        <f>Actual!$B34</f>
        <v>0</v>
      </c>
      <c r="N36" s="10">
        <f>classify1!B34</f>
        <v>0</v>
      </c>
      <c r="O36" s="10">
        <f>classify2!B34</f>
        <v>0</v>
      </c>
      <c r="P36" s="10">
        <f>classify3!B34</f>
        <v>0</v>
      </c>
      <c r="Q36" s="10">
        <f>classify4!B34</f>
        <v>0</v>
      </c>
      <c r="R36" s="10">
        <f>classify5!B34</f>
        <v>0</v>
      </c>
      <c r="S36" s="11">
        <f t="shared" si="2"/>
        <v>1</v>
      </c>
      <c r="T36" s="12">
        <f t="shared" si="3"/>
        <v>1</v>
      </c>
    </row>
    <row r="37" spans="1:20" x14ac:dyDescent="0.3">
      <c r="A37" s="6">
        <f t="shared" si="4"/>
        <v>34</v>
      </c>
      <c r="B37" s="7">
        <f>Actual!$B35</f>
        <v>0</v>
      </c>
      <c r="C37" s="10">
        <f>prompt1!B35</f>
        <v>0</v>
      </c>
      <c r="D37" s="10">
        <f>prompt2!B35</f>
        <v>0</v>
      </c>
      <c r="E37" s="10">
        <f>prompt3!B35</f>
        <v>0</v>
      </c>
      <c r="F37" s="10">
        <f>prompt4!B35</f>
        <v>0</v>
      </c>
      <c r="G37" s="10">
        <f>prompt5!B35</f>
        <v>0</v>
      </c>
      <c r="H37" s="11">
        <f t="shared" si="0"/>
        <v>1</v>
      </c>
      <c r="I37" s="12">
        <f t="shared" si="1"/>
        <v>1</v>
      </c>
      <c r="J37" s="5"/>
      <c r="K37" s="5"/>
      <c r="L37" s="6">
        <f t="shared" si="5"/>
        <v>34</v>
      </c>
      <c r="M37" s="7">
        <f>Actual!$B35</f>
        <v>0</v>
      </c>
      <c r="N37" s="10">
        <f>classify1!B35</f>
        <v>0</v>
      </c>
      <c r="O37" s="10">
        <f>classify2!B35</f>
        <v>0</v>
      </c>
      <c r="P37" s="10">
        <f>classify3!B35</f>
        <v>0</v>
      </c>
      <c r="Q37" s="10">
        <f>classify4!B35</f>
        <v>0</v>
      </c>
      <c r="R37" s="10">
        <f>classify5!B35</f>
        <v>0</v>
      </c>
      <c r="S37" s="11">
        <f t="shared" si="2"/>
        <v>1</v>
      </c>
      <c r="T37" s="12">
        <f t="shared" si="3"/>
        <v>1</v>
      </c>
    </row>
    <row r="38" spans="1:20" x14ac:dyDescent="0.3">
      <c r="A38" s="6">
        <f t="shared" si="4"/>
        <v>35</v>
      </c>
      <c r="B38" s="7">
        <f>Actual!$B36</f>
        <v>1</v>
      </c>
      <c r="C38" s="13">
        <f>prompt1!B36</f>
        <v>0</v>
      </c>
      <c r="D38" s="13">
        <f>prompt2!B36</f>
        <v>0</v>
      </c>
      <c r="E38" s="13">
        <f>prompt3!B36</f>
        <v>0</v>
      </c>
      <c r="F38" s="13">
        <f>prompt4!B36</f>
        <v>0</v>
      </c>
      <c r="G38" s="13">
        <f>prompt5!B36</f>
        <v>0</v>
      </c>
      <c r="H38" s="11">
        <f t="shared" si="0"/>
        <v>0</v>
      </c>
      <c r="I38" s="12">
        <f t="shared" si="1"/>
        <v>1</v>
      </c>
      <c r="J38" s="5"/>
      <c r="K38" s="5"/>
      <c r="L38" s="6">
        <f t="shared" si="5"/>
        <v>35</v>
      </c>
      <c r="M38" s="7">
        <f>Actual!$B36</f>
        <v>1</v>
      </c>
      <c r="N38" s="13">
        <f>classify1!B36</f>
        <v>0</v>
      </c>
      <c r="O38" s="13">
        <f>classify2!B36</f>
        <v>0</v>
      </c>
      <c r="P38" s="13">
        <f>classify3!B36</f>
        <v>0</v>
      </c>
      <c r="Q38" s="13">
        <f>classify4!B36</f>
        <v>0</v>
      </c>
      <c r="R38" s="13">
        <f>classify5!B36</f>
        <v>0</v>
      </c>
      <c r="S38" s="11">
        <f t="shared" si="2"/>
        <v>0</v>
      </c>
      <c r="T38" s="12">
        <f t="shared" si="3"/>
        <v>1</v>
      </c>
    </row>
    <row r="39" spans="1:20" x14ac:dyDescent="0.3">
      <c r="A39" s="6">
        <f t="shared" si="4"/>
        <v>36</v>
      </c>
      <c r="B39" s="7">
        <f>Actual!$B37</f>
        <v>0</v>
      </c>
      <c r="C39" s="10">
        <f>prompt1!B37</f>
        <v>0</v>
      </c>
      <c r="D39" s="10">
        <f>prompt2!B37</f>
        <v>0</v>
      </c>
      <c r="E39" s="10">
        <f>prompt3!B37</f>
        <v>0</v>
      </c>
      <c r="F39" s="10">
        <f>prompt4!B37</f>
        <v>0</v>
      </c>
      <c r="G39" s="10">
        <f>prompt5!B37</f>
        <v>0</v>
      </c>
      <c r="H39" s="11">
        <f t="shared" si="0"/>
        <v>1</v>
      </c>
      <c r="I39" s="12">
        <f t="shared" si="1"/>
        <v>1</v>
      </c>
      <c r="J39" s="5"/>
      <c r="K39" s="5"/>
      <c r="L39" s="6">
        <f t="shared" si="5"/>
        <v>36</v>
      </c>
      <c r="M39" s="7">
        <f>Actual!$B37</f>
        <v>0</v>
      </c>
      <c r="N39" s="10">
        <f>classify1!B37</f>
        <v>0</v>
      </c>
      <c r="O39" s="10">
        <f>classify2!B37</f>
        <v>0</v>
      </c>
      <c r="P39" s="10">
        <f>classify3!B37</f>
        <v>0</v>
      </c>
      <c r="Q39" s="10">
        <f>classify4!B37</f>
        <v>0</v>
      </c>
      <c r="R39" s="10">
        <f>classify5!B37</f>
        <v>0</v>
      </c>
      <c r="S39" s="11">
        <f t="shared" si="2"/>
        <v>1</v>
      </c>
      <c r="T39" s="12">
        <f t="shared" si="3"/>
        <v>1</v>
      </c>
    </row>
    <row r="40" spans="1:20" x14ac:dyDescent="0.3">
      <c r="A40" s="6">
        <f t="shared" si="4"/>
        <v>37</v>
      </c>
      <c r="B40" s="7">
        <f>Actual!$B38</f>
        <v>1</v>
      </c>
      <c r="C40" s="10">
        <f>prompt1!B38</f>
        <v>1</v>
      </c>
      <c r="D40" s="10">
        <f>prompt2!B38</f>
        <v>1</v>
      </c>
      <c r="E40" s="10">
        <f>prompt3!B38</f>
        <v>1</v>
      </c>
      <c r="F40" s="10">
        <f>prompt4!B38</f>
        <v>1</v>
      </c>
      <c r="G40" s="10">
        <f>prompt5!B38</f>
        <v>1</v>
      </c>
      <c r="H40" s="11">
        <f t="shared" si="0"/>
        <v>1</v>
      </c>
      <c r="I40" s="12">
        <f t="shared" si="1"/>
        <v>1</v>
      </c>
      <c r="J40" s="5"/>
      <c r="K40" s="5"/>
      <c r="L40" s="6">
        <f t="shared" si="5"/>
        <v>37</v>
      </c>
      <c r="M40" s="7">
        <f>Actual!$B38</f>
        <v>1</v>
      </c>
      <c r="N40" s="10">
        <f>classify1!B38</f>
        <v>1</v>
      </c>
      <c r="O40" s="10">
        <f>classify2!B38</f>
        <v>1</v>
      </c>
      <c r="P40" s="10">
        <f>classify3!B38</f>
        <v>1</v>
      </c>
      <c r="Q40" s="10">
        <f>classify4!B38</f>
        <v>1</v>
      </c>
      <c r="R40" s="10">
        <f>classify5!B38</f>
        <v>1</v>
      </c>
      <c r="S40" s="11">
        <f t="shared" si="2"/>
        <v>1</v>
      </c>
      <c r="T40" s="12">
        <f t="shared" si="3"/>
        <v>1</v>
      </c>
    </row>
    <row r="41" spans="1:20" x14ac:dyDescent="0.3">
      <c r="A41" s="6">
        <f t="shared" si="4"/>
        <v>38</v>
      </c>
      <c r="B41" s="7">
        <f>Actual!$B39</f>
        <v>0</v>
      </c>
      <c r="C41" s="10">
        <f>prompt1!B39</f>
        <v>0</v>
      </c>
      <c r="D41" s="10">
        <f>prompt2!B39</f>
        <v>0</v>
      </c>
      <c r="E41" s="10">
        <f>prompt3!B39</f>
        <v>0</v>
      </c>
      <c r="F41" s="10">
        <f>prompt4!B39</f>
        <v>0</v>
      </c>
      <c r="G41" s="10">
        <f>prompt5!B39</f>
        <v>0</v>
      </c>
      <c r="H41" s="11">
        <f t="shared" si="0"/>
        <v>1</v>
      </c>
      <c r="I41" s="12">
        <f t="shared" si="1"/>
        <v>1</v>
      </c>
      <c r="J41" s="5"/>
      <c r="K41" s="5"/>
      <c r="L41" s="6">
        <f t="shared" si="5"/>
        <v>38</v>
      </c>
      <c r="M41" s="7">
        <f>Actual!$B39</f>
        <v>0</v>
      </c>
      <c r="N41" s="10">
        <f>classify1!B39</f>
        <v>0</v>
      </c>
      <c r="O41" s="10">
        <f>classify2!B39</f>
        <v>0</v>
      </c>
      <c r="P41" s="10">
        <f>classify3!B39</f>
        <v>0</v>
      </c>
      <c r="Q41" s="10">
        <f>classify4!B39</f>
        <v>0</v>
      </c>
      <c r="R41" s="10">
        <f>classify5!B39</f>
        <v>0</v>
      </c>
      <c r="S41" s="11">
        <f t="shared" si="2"/>
        <v>1</v>
      </c>
      <c r="T41" s="12">
        <f t="shared" si="3"/>
        <v>1</v>
      </c>
    </row>
    <row r="42" spans="1:20" x14ac:dyDescent="0.3">
      <c r="A42" s="6">
        <f t="shared" si="4"/>
        <v>39</v>
      </c>
      <c r="B42" s="7">
        <f>Actual!$B40</f>
        <v>1</v>
      </c>
      <c r="C42" s="10">
        <f>prompt1!B40</f>
        <v>1</v>
      </c>
      <c r="D42" s="10">
        <f>prompt2!B40</f>
        <v>1</v>
      </c>
      <c r="E42" s="10">
        <f>prompt3!B40</f>
        <v>1</v>
      </c>
      <c r="F42" s="10">
        <f>prompt4!B40</f>
        <v>1</v>
      </c>
      <c r="G42" s="10">
        <f>prompt5!B40</f>
        <v>1</v>
      </c>
      <c r="H42" s="11">
        <f t="shared" si="0"/>
        <v>1</v>
      </c>
      <c r="I42" s="12">
        <f t="shared" si="1"/>
        <v>1</v>
      </c>
      <c r="J42" s="5"/>
      <c r="K42" s="5"/>
      <c r="L42" s="6">
        <f t="shared" si="5"/>
        <v>39</v>
      </c>
      <c r="M42" s="7">
        <f>Actual!$B40</f>
        <v>1</v>
      </c>
      <c r="N42" s="10">
        <f>classify1!B40</f>
        <v>1</v>
      </c>
      <c r="O42" s="10">
        <f>classify2!B40</f>
        <v>1</v>
      </c>
      <c r="P42" s="10">
        <f>classify3!B40</f>
        <v>1</v>
      </c>
      <c r="Q42" s="10">
        <f>classify4!B40</f>
        <v>1</v>
      </c>
      <c r="R42" s="10">
        <f>classify5!B40</f>
        <v>1</v>
      </c>
      <c r="S42" s="11">
        <f t="shared" si="2"/>
        <v>1</v>
      </c>
      <c r="T42" s="12">
        <f t="shared" si="3"/>
        <v>1</v>
      </c>
    </row>
    <row r="43" spans="1:20" x14ac:dyDescent="0.3">
      <c r="A43" s="6">
        <f t="shared" si="4"/>
        <v>40</v>
      </c>
      <c r="B43" s="7">
        <f>Actual!$B41</f>
        <v>1</v>
      </c>
      <c r="C43" s="10">
        <f>prompt1!B41</f>
        <v>1</v>
      </c>
      <c r="D43" s="10">
        <f>prompt2!B41</f>
        <v>1</v>
      </c>
      <c r="E43" s="10">
        <f>prompt3!B41</f>
        <v>1</v>
      </c>
      <c r="F43" s="10">
        <f>prompt4!B41</f>
        <v>1</v>
      </c>
      <c r="G43" s="10">
        <f>prompt5!B41</f>
        <v>1</v>
      </c>
      <c r="H43" s="11">
        <f t="shared" si="0"/>
        <v>1</v>
      </c>
      <c r="I43" s="12">
        <f t="shared" si="1"/>
        <v>1</v>
      </c>
      <c r="J43" s="5"/>
      <c r="K43" s="5"/>
      <c r="L43" s="6">
        <f t="shared" si="5"/>
        <v>40</v>
      </c>
      <c r="M43" s="7">
        <f>Actual!$B41</f>
        <v>1</v>
      </c>
      <c r="N43" s="10">
        <f>classify1!B41</f>
        <v>1</v>
      </c>
      <c r="O43" s="10">
        <f>classify2!B41</f>
        <v>1</v>
      </c>
      <c r="P43" s="10">
        <f>classify3!B41</f>
        <v>1</v>
      </c>
      <c r="Q43" s="10">
        <f>classify4!B41</f>
        <v>1</v>
      </c>
      <c r="R43" s="10">
        <f>classify5!B41</f>
        <v>1</v>
      </c>
      <c r="S43" s="11">
        <f t="shared" si="2"/>
        <v>1</v>
      </c>
      <c r="T43" s="12">
        <f t="shared" si="3"/>
        <v>1</v>
      </c>
    </row>
    <row r="44" spans="1:20" x14ac:dyDescent="0.3">
      <c r="A44" s="6">
        <f t="shared" si="4"/>
        <v>41</v>
      </c>
      <c r="B44" s="7">
        <f>Actual!$B42</f>
        <v>1</v>
      </c>
      <c r="C44" s="10">
        <f>prompt1!B42</f>
        <v>1</v>
      </c>
      <c r="D44" s="10">
        <f>prompt2!B42</f>
        <v>1</v>
      </c>
      <c r="E44" s="10">
        <f>prompt3!B42</f>
        <v>1</v>
      </c>
      <c r="F44" s="10">
        <f>prompt4!B42</f>
        <v>1</v>
      </c>
      <c r="G44" s="10">
        <f>prompt5!B42</f>
        <v>1</v>
      </c>
      <c r="H44" s="11">
        <f t="shared" si="0"/>
        <v>1</v>
      </c>
      <c r="I44" s="12">
        <f t="shared" si="1"/>
        <v>1</v>
      </c>
      <c r="J44" s="5"/>
      <c r="K44" s="5"/>
      <c r="L44" s="6">
        <f t="shared" si="5"/>
        <v>41</v>
      </c>
      <c r="M44" s="7">
        <f>Actual!$B42</f>
        <v>1</v>
      </c>
      <c r="N44" s="10">
        <f>classify1!B42</f>
        <v>1</v>
      </c>
      <c r="O44" s="10">
        <f>classify2!B42</f>
        <v>1</v>
      </c>
      <c r="P44" s="10">
        <f>classify3!B42</f>
        <v>1</v>
      </c>
      <c r="Q44" s="10">
        <f>classify4!B42</f>
        <v>1</v>
      </c>
      <c r="R44" s="10">
        <f>classify5!B42</f>
        <v>1</v>
      </c>
      <c r="S44" s="11">
        <f t="shared" si="2"/>
        <v>1</v>
      </c>
      <c r="T44" s="12">
        <f t="shared" si="3"/>
        <v>1</v>
      </c>
    </row>
    <row r="45" spans="1:20" x14ac:dyDescent="0.3">
      <c r="A45" s="6">
        <f t="shared" si="4"/>
        <v>42</v>
      </c>
      <c r="B45" s="7">
        <f>Actual!$B43</f>
        <v>0</v>
      </c>
      <c r="C45" s="10">
        <f>prompt1!B43</f>
        <v>0</v>
      </c>
      <c r="D45" s="10">
        <f>prompt2!B43</f>
        <v>0</v>
      </c>
      <c r="E45" s="10">
        <f>prompt3!B43</f>
        <v>0</v>
      </c>
      <c r="F45" s="10">
        <f>prompt4!B43</f>
        <v>0</v>
      </c>
      <c r="G45" s="10">
        <f>prompt5!B43</f>
        <v>0</v>
      </c>
      <c r="H45" s="11">
        <f t="shared" si="0"/>
        <v>1</v>
      </c>
      <c r="I45" s="12">
        <f t="shared" si="1"/>
        <v>1</v>
      </c>
      <c r="J45" s="5"/>
      <c r="K45" s="5"/>
      <c r="L45" s="6">
        <f t="shared" si="5"/>
        <v>42</v>
      </c>
      <c r="M45" s="7">
        <f>Actual!$B43</f>
        <v>0</v>
      </c>
      <c r="N45" s="10">
        <f>classify1!B43</f>
        <v>0</v>
      </c>
      <c r="O45" s="10">
        <f>classify2!B43</f>
        <v>0</v>
      </c>
      <c r="P45" s="10">
        <f>classify3!B43</f>
        <v>0</v>
      </c>
      <c r="Q45" s="10">
        <f>classify4!B43</f>
        <v>0</v>
      </c>
      <c r="R45" s="10">
        <f>classify5!B43</f>
        <v>0</v>
      </c>
      <c r="S45" s="11">
        <f t="shared" si="2"/>
        <v>1</v>
      </c>
      <c r="T45" s="12">
        <f t="shared" si="3"/>
        <v>1</v>
      </c>
    </row>
    <row r="46" spans="1:20" x14ac:dyDescent="0.3">
      <c r="A46" s="6">
        <f t="shared" si="4"/>
        <v>43</v>
      </c>
      <c r="B46" s="7">
        <f>Actual!$B44</f>
        <v>0</v>
      </c>
      <c r="C46" s="10">
        <f>prompt1!B44</f>
        <v>0</v>
      </c>
      <c r="D46" s="10">
        <f>prompt2!B44</f>
        <v>0</v>
      </c>
      <c r="E46" s="10">
        <f>prompt3!B44</f>
        <v>0</v>
      </c>
      <c r="F46" s="10">
        <f>prompt4!B44</f>
        <v>0</v>
      </c>
      <c r="G46" s="10">
        <f>prompt5!B44</f>
        <v>0</v>
      </c>
      <c r="H46" s="11">
        <f t="shared" si="0"/>
        <v>1</v>
      </c>
      <c r="I46" s="12">
        <f t="shared" si="1"/>
        <v>1</v>
      </c>
      <c r="J46" s="5"/>
      <c r="K46" s="5"/>
      <c r="L46" s="6">
        <f t="shared" si="5"/>
        <v>43</v>
      </c>
      <c r="M46" s="7">
        <f>Actual!$B44</f>
        <v>0</v>
      </c>
      <c r="N46" s="10">
        <f>classify1!B44</f>
        <v>0</v>
      </c>
      <c r="O46" s="10">
        <f>classify2!B44</f>
        <v>0</v>
      </c>
      <c r="P46" s="10">
        <f>classify3!B44</f>
        <v>0</v>
      </c>
      <c r="Q46" s="10">
        <f>classify4!B44</f>
        <v>0</v>
      </c>
      <c r="R46" s="10">
        <f>classify5!B44</f>
        <v>0</v>
      </c>
      <c r="S46" s="11">
        <f t="shared" si="2"/>
        <v>1</v>
      </c>
      <c r="T46" s="12">
        <f t="shared" si="3"/>
        <v>1</v>
      </c>
    </row>
    <row r="47" spans="1:20" x14ac:dyDescent="0.3">
      <c r="A47" s="6">
        <f t="shared" si="4"/>
        <v>44</v>
      </c>
      <c r="B47" s="7">
        <f>Actual!$B45</f>
        <v>1</v>
      </c>
      <c r="C47" s="13">
        <f>prompt1!B45</f>
        <v>0</v>
      </c>
      <c r="D47" s="13">
        <f>prompt2!B45</f>
        <v>0</v>
      </c>
      <c r="E47" s="13">
        <f>prompt3!B45</f>
        <v>0</v>
      </c>
      <c r="F47" s="13">
        <f>prompt4!B45</f>
        <v>0</v>
      </c>
      <c r="G47" s="13">
        <f>prompt5!B45</f>
        <v>0</v>
      </c>
      <c r="H47" s="11">
        <f t="shared" si="0"/>
        <v>0</v>
      </c>
      <c r="I47" s="12">
        <f t="shared" si="1"/>
        <v>1</v>
      </c>
      <c r="J47" s="5"/>
      <c r="K47" s="5"/>
      <c r="L47" s="6">
        <f t="shared" si="5"/>
        <v>44</v>
      </c>
      <c r="M47" s="7">
        <f>Actual!$B45</f>
        <v>1</v>
      </c>
      <c r="N47" s="13">
        <f>classify1!B45</f>
        <v>0</v>
      </c>
      <c r="O47" s="13">
        <f>classify2!B45</f>
        <v>0</v>
      </c>
      <c r="P47" s="13">
        <f>classify3!B45</f>
        <v>0</v>
      </c>
      <c r="Q47" s="13">
        <f>classify4!B45</f>
        <v>0</v>
      </c>
      <c r="R47" s="13">
        <f>classify5!B45</f>
        <v>0</v>
      </c>
      <c r="S47" s="11">
        <f t="shared" si="2"/>
        <v>0</v>
      </c>
      <c r="T47" s="12">
        <f t="shared" si="3"/>
        <v>1</v>
      </c>
    </row>
    <row r="48" spans="1:20" x14ac:dyDescent="0.3">
      <c r="A48" s="6">
        <f t="shared" si="4"/>
        <v>45</v>
      </c>
      <c r="B48" s="7">
        <f>Actual!$B46</f>
        <v>1</v>
      </c>
      <c r="C48" s="13">
        <f>prompt1!B46</f>
        <v>0</v>
      </c>
      <c r="D48" s="10">
        <f>prompt2!B46</f>
        <v>1</v>
      </c>
      <c r="E48" s="10">
        <f>prompt3!B46</f>
        <v>0</v>
      </c>
      <c r="F48" s="10">
        <f>prompt4!B46</f>
        <v>0</v>
      </c>
      <c r="G48" s="10">
        <f>prompt5!B46</f>
        <v>0</v>
      </c>
      <c r="H48" s="11">
        <f t="shared" si="0"/>
        <v>0.2</v>
      </c>
      <c r="I48" s="12">
        <f t="shared" si="1"/>
        <v>0.8</v>
      </c>
      <c r="J48" s="5"/>
      <c r="K48" s="5"/>
      <c r="L48" s="6">
        <f t="shared" si="5"/>
        <v>45</v>
      </c>
      <c r="M48" s="7">
        <f>Actual!$B46</f>
        <v>1</v>
      </c>
      <c r="N48" s="13">
        <f>classify1!B46</f>
        <v>0</v>
      </c>
      <c r="O48" s="13">
        <f>classify2!B46</f>
        <v>0</v>
      </c>
      <c r="P48" s="13">
        <f>classify3!B46</f>
        <v>0</v>
      </c>
      <c r="Q48" s="10">
        <f>classify4!B46</f>
        <v>1</v>
      </c>
      <c r="R48" s="13">
        <f>classify5!B46</f>
        <v>0</v>
      </c>
      <c r="S48" s="11">
        <f t="shared" si="2"/>
        <v>0.2</v>
      </c>
      <c r="T48" s="12">
        <f t="shared" si="3"/>
        <v>0.8</v>
      </c>
    </row>
    <row r="49" spans="1:20" x14ac:dyDescent="0.3">
      <c r="A49" s="6">
        <f t="shared" si="4"/>
        <v>46</v>
      </c>
      <c r="B49" s="7">
        <f>Actual!$B47</f>
        <v>0</v>
      </c>
      <c r="C49" s="10">
        <f>prompt1!B47</f>
        <v>0</v>
      </c>
      <c r="D49" s="10">
        <f>prompt2!B47</f>
        <v>0</v>
      </c>
      <c r="E49" s="10">
        <f>prompt3!B47</f>
        <v>0</v>
      </c>
      <c r="F49" s="10">
        <f>prompt4!B47</f>
        <v>0</v>
      </c>
      <c r="G49" s="10">
        <f>prompt5!B47</f>
        <v>0</v>
      </c>
      <c r="H49" s="11">
        <f t="shared" si="0"/>
        <v>1</v>
      </c>
      <c r="I49" s="12">
        <f t="shared" si="1"/>
        <v>1</v>
      </c>
      <c r="J49" s="5"/>
      <c r="K49" s="5"/>
      <c r="L49" s="6">
        <f t="shared" si="5"/>
        <v>46</v>
      </c>
      <c r="M49" s="7">
        <f>Actual!$B47</f>
        <v>0</v>
      </c>
      <c r="N49" s="10">
        <f>classify1!B47</f>
        <v>0</v>
      </c>
      <c r="O49" s="10">
        <f>classify2!B47</f>
        <v>0</v>
      </c>
      <c r="P49" s="10">
        <f>classify3!B47</f>
        <v>0</v>
      </c>
      <c r="Q49" s="10">
        <f>classify4!B47</f>
        <v>0</v>
      </c>
      <c r="R49" s="10">
        <f>classify5!B47</f>
        <v>0</v>
      </c>
      <c r="S49" s="11">
        <f t="shared" si="2"/>
        <v>1</v>
      </c>
      <c r="T49" s="12">
        <f t="shared" si="3"/>
        <v>1</v>
      </c>
    </row>
    <row r="50" spans="1:20" x14ac:dyDescent="0.3">
      <c r="A50" s="6">
        <f t="shared" si="4"/>
        <v>47</v>
      </c>
      <c r="B50" s="7">
        <f>Actual!$B48</f>
        <v>1</v>
      </c>
      <c r="C50" s="10">
        <f>prompt1!B48</f>
        <v>1</v>
      </c>
      <c r="D50" s="10">
        <f>prompt2!B48</f>
        <v>1</v>
      </c>
      <c r="E50" s="10">
        <f>prompt3!B48</f>
        <v>1</v>
      </c>
      <c r="F50" s="10">
        <f>prompt4!B48</f>
        <v>1</v>
      </c>
      <c r="G50" s="10">
        <f>prompt5!B48</f>
        <v>1</v>
      </c>
      <c r="H50" s="11">
        <f t="shared" si="0"/>
        <v>1</v>
      </c>
      <c r="I50" s="12">
        <f t="shared" si="1"/>
        <v>1</v>
      </c>
      <c r="J50" s="5"/>
      <c r="K50" s="5"/>
      <c r="L50" s="6">
        <f t="shared" si="5"/>
        <v>47</v>
      </c>
      <c r="M50" s="7">
        <f>Actual!$B48</f>
        <v>1</v>
      </c>
      <c r="N50" s="10">
        <f>classify1!B48</f>
        <v>1</v>
      </c>
      <c r="O50" s="10">
        <f>classify2!B48</f>
        <v>1</v>
      </c>
      <c r="P50" s="10">
        <f>classify3!B48</f>
        <v>1</v>
      </c>
      <c r="Q50" s="10">
        <f>classify4!B48</f>
        <v>1</v>
      </c>
      <c r="R50" s="10">
        <f>classify5!B48</f>
        <v>1</v>
      </c>
      <c r="S50" s="11">
        <f t="shared" si="2"/>
        <v>1</v>
      </c>
      <c r="T50" s="12">
        <f t="shared" si="3"/>
        <v>1</v>
      </c>
    </row>
    <row r="51" spans="1:20" x14ac:dyDescent="0.3">
      <c r="A51" s="6">
        <f t="shared" si="4"/>
        <v>48</v>
      </c>
      <c r="B51" s="7">
        <f>Actual!$B49</f>
        <v>1</v>
      </c>
      <c r="C51" s="13">
        <f>prompt1!B49</f>
        <v>0</v>
      </c>
      <c r="D51" s="13">
        <f>prompt2!B49</f>
        <v>0</v>
      </c>
      <c r="E51" s="13">
        <f>prompt3!B49</f>
        <v>0</v>
      </c>
      <c r="F51" s="13">
        <f>prompt4!B49</f>
        <v>0</v>
      </c>
      <c r="G51" s="13">
        <f>prompt5!B49</f>
        <v>0</v>
      </c>
      <c r="H51" s="11">
        <f t="shared" si="0"/>
        <v>0</v>
      </c>
      <c r="I51" s="12">
        <f t="shared" si="1"/>
        <v>1</v>
      </c>
      <c r="J51" s="5"/>
      <c r="K51" s="5"/>
      <c r="L51" s="6">
        <f t="shared" si="5"/>
        <v>48</v>
      </c>
      <c r="M51" s="7">
        <f>Actual!$B49</f>
        <v>1</v>
      </c>
      <c r="N51" s="13">
        <f>classify1!B49</f>
        <v>0</v>
      </c>
      <c r="O51" s="13">
        <f>classify2!B49</f>
        <v>0</v>
      </c>
      <c r="P51" s="13">
        <f>classify3!B49</f>
        <v>0</v>
      </c>
      <c r="Q51" s="13">
        <f>classify4!B49</f>
        <v>0</v>
      </c>
      <c r="R51" s="13">
        <f>classify5!B49</f>
        <v>0</v>
      </c>
      <c r="S51" s="11">
        <f t="shared" si="2"/>
        <v>0</v>
      </c>
      <c r="T51" s="12">
        <f t="shared" si="3"/>
        <v>1</v>
      </c>
    </row>
    <row r="52" spans="1:20" x14ac:dyDescent="0.3">
      <c r="A52" s="6">
        <f t="shared" si="4"/>
        <v>49</v>
      </c>
      <c r="B52" s="7">
        <f>Actual!$B50</f>
        <v>1</v>
      </c>
      <c r="C52" s="10">
        <f>prompt1!B50</f>
        <v>1</v>
      </c>
      <c r="D52" s="10">
        <f>prompt2!B50</f>
        <v>1</v>
      </c>
      <c r="E52" s="10">
        <f>prompt3!B50</f>
        <v>1</v>
      </c>
      <c r="F52" s="10">
        <f>prompt4!B50</f>
        <v>1</v>
      </c>
      <c r="G52" s="10">
        <f>prompt5!B50</f>
        <v>1</v>
      </c>
      <c r="H52" s="11">
        <f t="shared" si="0"/>
        <v>1</v>
      </c>
      <c r="I52" s="12">
        <f t="shared" si="1"/>
        <v>1</v>
      </c>
      <c r="J52" s="5"/>
      <c r="K52" s="5"/>
      <c r="L52" s="6">
        <f t="shared" si="5"/>
        <v>49</v>
      </c>
      <c r="M52" s="7">
        <f>Actual!$B50</f>
        <v>1</v>
      </c>
      <c r="N52" s="10">
        <f>classify1!B50</f>
        <v>1</v>
      </c>
      <c r="O52" s="10">
        <f>classify2!B50</f>
        <v>1</v>
      </c>
      <c r="P52" s="10">
        <f>classify3!B50</f>
        <v>1</v>
      </c>
      <c r="Q52" s="10">
        <f>classify4!B50</f>
        <v>1</v>
      </c>
      <c r="R52" s="10">
        <f>classify5!B50</f>
        <v>1</v>
      </c>
      <c r="S52" s="11">
        <f t="shared" si="2"/>
        <v>1</v>
      </c>
      <c r="T52" s="12">
        <f t="shared" si="3"/>
        <v>1</v>
      </c>
    </row>
    <row r="53" spans="1:20" x14ac:dyDescent="0.3">
      <c r="A53" s="6">
        <f t="shared" si="4"/>
        <v>50</v>
      </c>
      <c r="B53" s="7">
        <f>Actual!$B51</f>
        <v>1</v>
      </c>
      <c r="C53" s="10">
        <f>prompt1!B51</f>
        <v>1</v>
      </c>
      <c r="D53" s="10">
        <f>prompt2!B51</f>
        <v>1</v>
      </c>
      <c r="E53" s="10">
        <f>prompt3!B51</f>
        <v>1</v>
      </c>
      <c r="F53" s="10">
        <f>prompt4!B51</f>
        <v>1</v>
      </c>
      <c r="G53" s="10">
        <f>prompt5!B51</f>
        <v>1</v>
      </c>
      <c r="H53" s="11">
        <f t="shared" si="0"/>
        <v>1</v>
      </c>
      <c r="I53" s="12">
        <f t="shared" si="1"/>
        <v>1</v>
      </c>
      <c r="J53" s="5"/>
      <c r="K53" s="5"/>
      <c r="L53" s="6">
        <f t="shared" si="5"/>
        <v>50</v>
      </c>
      <c r="M53" s="7">
        <f>Actual!$B51</f>
        <v>1</v>
      </c>
      <c r="N53" s="10">
        <f>classify1!B51</f>
        <v>1</v>
      </c>
      <c r="O53" s="10">
        <f>classify2!B51</f>
        <v>1</v>
      </c>
      <c r="P53" s="10">
        <f>classify3!B51</f>
        <v>1</v>
      </c>
      <c r="Q53" s="10">
        <f>classify4!B51</f>
        <v>1</v>
      </c>
      <c r="R53" s="10">
        <f>classify5!B51</f>
        <v>1</v>
      </c>
      <c r="S53" s="11">
        <f t="shared" si="2"/>
        <v>1</v>
      </c>
      <c r="T53" s="12">
        <f t="shared" si="3"/>
        <v>1</v>
      </c>
    </row>
    <row r="54" spans="1:20" x14ac:dyDescent="0.3">
      <c r="A54" s="6">
        <f t="shared" si="4"/>
        <v>51</v>
      </c>
      <c r="B54" s="7">
        <f>Actual!$B52</f>
        <v>1</v>
      </c>
      <c r="C54" s="10">
        <f>prompt1!B52</f>
        <v>1</v>
      </c>
      <c r="D54" s="10">
        <f>prompt2!B52</f>
        <v>1</v>
      </c>
      <c r="E54" s="10">
        <f>prompt3!B52</f>
        <v>1</v>
      </c>
      <c r="F54" s="10">
        <f>prompt4!B52</f>
        <v>1</v>
      </c>
      <c r="G54" s="10">
        <f>prompt5!B52</f>
        <v>1</v>
      </c>
      <c r="H54" s="11">
        <f t="shared" si="0"/>
        <v>1</v>
      </c>
      <c r="I54" s="12">
        <f t="shared" si="1"/>
        <v>1</v>
      </c>
      <c r="J54" s="5"/>
      <c r="K54" s="5"/>
      <c r="L54" s="6">
        <f t="shared" si="5"/>
        <v>51</v>
      </c>
      <c r="M54" s="7">
        <f>Actual!$B52</f>
        <v>1</v>
      </c>
      <c r="N54" s="10">
        <f>classify1!B52</f>
        <v>1</v>
      </c>
      <c r="O54" s="10">
        <f>classify2!B52</f>
        <v>1</v>
      </c>
      <c r="P54" s="10">
        <f>classify3!B52</f>
        <v>1</v>
      </c>
      <c r="Q54" s="10">
        <f>classify4!B52</f>
        <v>1</v>
      </c>
      <c r="R54" s="10">
        <f>classify5!B52</f>
        <v>1</v>
      </c>
      <c r="S54" s="11">
        <f t="shared" si="2"/>
        <v>1</v>
      </c>
      <c r="T54" s="12">
        <f t="shared" si="3"/>
        <v>1</v>
      </c>
    </row>
    <row r="55" spans="1:20" x14ac:dyDescent="0.3">
      <c r="A55" s="6">
        <f t="shared" si="4"/>
        <v>52</v>
      </c>
      <c r="B55" s="7">
        <f>Actual!$B53</f>
        <v>0</v>
      </c>
      <c r="C55" s="10">
        <f>prompt1!B53</f>
        <v>0</v>
      </c>
      <c r="D55" s="10">
        <f>prompt2!B53</f>
        <v>0</v>
      </c>
      <c r="E55" s="10">
        <f>prompt3!B53</f>
        <v>0</v>
      </c>
      <c r="F55" s="10">
        <f>prompt4!B53</f>
        <v>0</v>
      </c>
      <c r="G55" s="10">
        <f>prompt5!B53</f>
        <v>0</v>
      </c>
      <c r="H55" s="11">
        <f t="shared" si="0"/>
        <v>1</v>
      </c>
      <c r="I55" s="12">
        <f t="shared" si="1"/>
        <v>1</v>
      </c>
      <c r="J55" s="5"/>
      <c r="K55" s="5"/>
      <c r="L55" s="6">
        <f t="shared" si="5"/>
        <v>52</v>
      </c>
      <c r="M55" s="7">
        <f>Actual!$B53</f>
        <v>0</v>
      </c>
      <c r="N55" s="10">
        <f>classify1!B53</f>
        <v>0</v>
      </c>
      <c r="O55" s="10">
        <f>classify2!B53</f>
        <v>0</v>
      </c>
      <c r="P55" s="10">
        <f>classify3!B53</f>
        <v>0</v>
      </c>
      <c r="Q55" s="10">
        <f>classify4!B53</f>
        <v>0</v>
      </c>
      <c r="R55" s="10">
        <f>classify5!B53</f>
        <v>0</v>
      </c>
      <c r="S55" s="11">
        <f t="shared" si="2"/>
        <v>1</v>
      </c>
      <c r="T55" s="12">
        <f t="shared" si="3"/>
        <v>1</v>
      </c>
    </row>
    <row r="56" spans="1:20" x14ac:dyDescent="0.3">
      <c r="A56" s="6">
        <f t="shared" si="4"/>
        <v>53</v>
      </c>
      <c r="B56" s="7">
        <f>Actual!$B54</f>
        <v>0</v>
      </c>
      <c r="C56" s="10">
        <f>prompt1!B54</f>
        <v>0</v>
      </c>
      <c r="D56" s="10">
        <f>prompt2!B54</f>
        <v>0</v>
      </c>
      <c r="E56" s="10">
        <f>prompt3!B54</f>
        <v>0</v>
      </c>
      <c r="F56" s="10">
        <f>prompt4!B54</f>
        <v>0</v>
      </c>
      <c r="G56" s="10">
        <f>prompt5!B54</f>
        <v>0</v>
      </c>
      <c r="H56" s="11">
        <f t="shared" si="0"/>
        <v>1</v>
      </c>
      <c r="I56" s="12">
        <f t="shared" si="1"/>
        <v>1</v>
      </c>
      <c r="J56" s="5"/>
      <c r="K56" s="5"/>
      <c r="L56" s="6">
        <f t="shared" si="5"/>
        <v>53</v>
      </c>
      <c r="M56" s="7">
        <f>Actual!$B54</f>
        <v>0</v>
      </c>
      <c r="N56" s="10">
        <f>classify1!B54</f>
        <v>0</v>
      </c>
      <c r="O56" s="10">
        <f>classify2!B54</f>
        <v>0</v>
      </c>
      <c r="P56" s="10">
        <f>classify3!B54</f>
        <v>0</v>
      </c>
      <c r="Q56" s="10">
        <f>classify4!B54</f>
        <v>0</v>
      </c>
      <c r="R56" s="10">
        <f>classify5!B54</f>
        <v>0</v>
      </c>
      <c r="S56" s="11">
        <f t="shared" si="2"/>
        <v>1</v>
      </c>
      <c r="T56" s="12">
        <f t="shared" si="3"/>
        <v>1</v>
      </c>
    </row>
    <row r="57" spans="1:20" x14ac:dyDescent="0.3">
      <c r="A57" s="6">
        <f t="shared" si="4"/>
        <v>54</v>
      </c>
      <c r="B57" s="7">
        <f>Actual!$B55</f>
        <v>1</v>
      </c>
      <c r="C57" s="13">
        <f>prompt1!B55</f>
        <v>0</v>
      </c>
      <c r="D57" s="13">
        <f>prompt2!B55</f>
        <v>0</v>
      </c>
      <c r="E57" s="13">
        <f>prompt3!B55</f>
        <v>0</v>
      </c>
      <c r="F57" s="13">
        <f>prompt4!B55</f>
        <v>0</v>
      </c>
      <c r="G57" s="13">
        <f>prompt5!B55</f>
        <v>0</v>
      </c>
      <c r="H57" s="11">
        <f t="shared" si="0"/>
        <v>0</v>
      </c>
      <c r="I57" s="12">
        <f t="shared" si="1"/>
        <v>1</v>
      </c>
      <c r="J57" s="5"/>
      <c r="K57" s="5"/>
      <c r="L57" s="6">
        <f t="shared" si="5"/>
        <v>54</v>
      </c>
      <c r="M57" s="7">
        <f>Actual!$B55</f>
        <v>1</v>
      </c>
      <c r="N57" s="13">
        <f>classify1!B55</f>
        <v>0</v>
      </c>
      <c r="O57" s="13">
        <f>classify2!B55</f>
        <v>0</v>
      </c>
      <c r="P57" s="13">
        <f>classify3!B55</f>
        <v>0</v>
      </c>
      <c r="Q57" s="13">
        <f>classify4!B55</f>
        <v>0</v>
      </c>
      <c r="R57" s="13">
        <f>classify5!B55</f>
        <v>0</v>
      </c>
      <c r="S57" s="11">
        <f t="shared" si="2"/>
        <v>0</v>
      </c>
      <c r="T57" s="12">
        <f t="shared" si="3"/>
        <v>1</v>
      </c>
    </row>
    <row r="58" spans="1:20" x14ac:dyDescent="0.3">
      <c r="A58" s="6">
        <f t="shared" si="4"/>
        <v>55</v>
      </c>
      <c r="B58" s="7">
        <f>Actual!$B56</f>
        <v>1</v>
      </c>
      <c r="C58" s="10">
        <f>prompt1!B56</f>
        <v>1</v>
      </c>
      <c r="D58" s="10">
        <f>prompt2!B56</f>
        <v>1</v>
      </c>
      <c r="E58" s="10">
        <f>prompt3!B56</f>
        <v>1</v>
      </c>
      <c r="F58" s="10">
        <f>prompt4!B56</f>
        <v>1</v>
      </c>
      <c r="G58" s="10">
        <f>prompt5!B56</f>
        <v>1</v>
      </c>
      <c r="H58" s="11">
        <f t="shared" si="0"/>
        <v>1</v>
      </c>
      <c r="I58" s="12">
        <f t="shared" si="1"/>
        <v>1</v>
      </c>
      <c r="J58" s="5"/>
      <c r="K58" s="5"/>
      <c r="L58" s="6">
        <f t="shared" si="5"/>
        <v>55</v>
      </c>
      <c r="M58" s="7">
        <f>Actual!$B56</f>
        <v>1</v>
      </c>
      <c r="N58" s="10">
        <f>classify1!B56</f>
        <v>1</v>
      </c>
      <c r="O58" s="10">
        <f>classify2!B56</f>
        <v>1</v>
      </c>
      <c r="P58" s="10">
        <f>classify3!B56</f>
        <v>1</v>
      </c>
      <c r="Q58" s="10">
        <f>classify4!B56</f>
        <v>1</v>
      </c>
      <c r="R58" s="10">
        <f>classify5!B56</f>
        <v>1</v>
      </c>
      <c r="S58" s="11">
        <f t="shared" si="2"/>
        <v>1</v>
      </c>
      <c r="T58" s="12">
        <f t="shared" si="3"/>
        <v>1</v>
      </c>
    </row>
    <row r="59" spans="1:20" x14ac:dyDescent="0.3">
      <c r="A59" s="6">
        <f t="shared" si="4"/>
        <v>56</v>
      </c>
      <c r="B59" s="7">
        <f>Actual!$B57</f>
        <v>1</v>
      </c>
      <c r="C59" s="13">
        <f>prompt1!B57</f>
        <v>0</v>
      </c>
      <c r="D59" s="13">
        <f>prompt2!B57</f>
        <v>0</v>
      </c>
      <c r="E59" s="13">
        <f>prompt3!B57</f>
        <v>0</v>
      </c>
      <c r="F59" s="13">
        <f>prompt4!B57</f>
        <v>0</v>
      </c>
      <c r="G59" s="13">
        <f>prompt5!B57</f>
        <v>0</v>
      </c>
      <c r="H59" s="11">
        <f t="shared" si="0"/>
        <v>0</v>
      </c>
      <c r="I59" s="12">
        <f t="shared" si="1"/>
        <v>1</v>
      </c>
      <c r="J59" s="5"/>
      <c r="K59" s="5"/>
      <c r="L59" s="6">
        <f t="shared" si="5"/>
        <v>56</v>
      </c>
      <c r="M59" s="7">
        <f>Actual!$B57</f>
        <v>1</v>
      </c>
      <c r="N59" s="13">
        <f>classify1!B57</f>
        <v>0</v>
      </c>
      <c r="O59" s="13">
        <f>classify2!B57</f>
        <v>0</v>
      </c>
      <c r="P59" s="13">
        <f>classify3!B57</f>
        <v>0</v>
      </c>
      <c r="Q59" s="13">
        <f>classify4!B57</f>
        <v>0</v>
      </c>
      <c r="R59" s="13">
        <f>classify5!B57</f>
        <v>0</v>
      </c>
      <c r="S59" s="11">
        <f t="shared" si="2"/>
        <v>0</v>
      </c>
      <c r="T59" s="12">
        <f t="shared" si="3"/>
        <v>1</v>
      </c>
    </row>
    <row r="60" spans="1:20" x14ac:dyDescent="0.3">
      <c r="A60" s="6">
        <f t="shared" si="4"/>
        <v>57</v>
      </c>
      <c r="B60" s="7">
        <f>Actual!$B58</f>
        <v>1</v>
      </c>
      <c r="C60" s="10">
        <f>prompt1!B58</f>
        <v>1</v>
      </c>
      <c r="D60" s="10">
        <f>prompt2!B58</f>
        <v>1</v>
      </c>
      <c r="E60" s="10">
        <f>prompt3!B58</f>
        <v>1</v>
      </c>
      <c r="F60" s="10">
        <f>prompt4!B58</f>
        <v>1</v>
      </c>
      <c r="G60" s="10">
        <f>prompt5!B58</f>
        <v>1</v>
      </c>
      <c r="H60" s="11">
        <f t="shared" si="0"/>
        <v>1</v>
      </c>
      <c r="I60" s="12">
        <f t="shared" si="1"/>
        <v>1</v>
      </c>
      <c r="J60" s="5"/>
      <c r="K60" s="5"/>
      <c r="L60" s="6">
        <f t="shared" si="5"/>
        <v>57</v>
      </c>
      <c r="M60" s="7">
        <f>Actual!$B58</f>
        <v>1</v>
      </c>
      <c r="N60" s="10">
        <f>classify1!B58</f>
        <v>1</v>
      </c>
      <c r="O60" s="10">
        <f>classify2!B58</f>
        <v>1</v>
      </c>
      <c r="P60" s="10">
        <f>classify3!B58</f>
        <v>1</v>
      </c>
      <c r="Q60" s="10">
        <f>classify4!B58</f>
        <v>1</v>
      </c>
      <c r="R60" s="10">
        <f>classify5!B58</f>
        <v>1</v>
      </c>
      <c r="S60" s="11">
        <f t="shared" si="2"/>
        <v>1</v>
      </c>
      <c r="T60" s="12">
        <f t="shared" si="3"/>
        <v>1</v>
      </c>
    </row>
    <row r="61" spans="1:20" x14ac:dyDescent="0.3">
      <c r="A61" s="6">
        <f t="shared" si="4"/>
        <v>58</v>
      </c>
      <c r="B61" s="7">
        <f>Actual!$B59</f>
        <v>1</v>
      </c>
      <c r="C61" s="10">
        <f>prompt1!B59</f>
        <v>1</v>
      </c>
      <c r="D61" s="10">
        <f>prompt2!B59</f>
        <v>1</v>
      </c>
      <c r="E61" s="10">
        <f>prompt3!B59</f>
        <v>1</v>
      </c>
      <c r="F61" s="10">
        <f>prompt4!B59</f>
        <v>1</v>
      </c>
      <c r="G61" s="10">
        <f>prompt5!B59</f>
        <v>1</v>
      </c>
      <c r="H61" s="11">
        <f t="shared" si="0"/>
        <v>1</v>
      </c>
      <c r="I61" s="12">
        <f t="shared" si="1"/>
        <v>1</v>
      </c>
      <c r="J61" s="5"/>
      <c r="K61" s="5"/>
      <c r="L61" s="6">
        <f t="shared" si="5"/>
        <v>58</v>
      </c>
      <c r="M61" s="7">
        <f>Actual!$B59</f>
        <v>1</v>
      </c>
      <c r="N61" s="10">
        <f>classify1!B59</f>
        <v>1</v>
      </c>
      <c r="O61" s="10">
        <f>classify2!B59</f>
        <v>1</v>
      </c>
      <c r="P61" s="10">
        <f>classify3!B59</f>
        <v>1</v>
      </c>
      <c r="Q61" s="10">
        <f>classify4!B59</f>
        <v>1</v>
      </c>
      <c r="R61" s="10">
        <f>classify5!B59</f>
        <v>1</v>
      </c>
      <c r="S61" s="11">
        <f t="shared" si="2"/>
        <v>1</v>
      </c>
      <c r="T61" s="12">
        <f t="shared" si="3"/>
        <v>1</v>
      </c>
    </row>
    <row r="62" spans="1:20" x14ac:dyDescent="0.3">
      <c r="A62" s="6">
        <f t="shared" si="4"/>
        <v>59</v>
      </c>
      <c r="B62" s="7">
        <f>Actual!$B60</f>
        <v>1</v>
      </c>
      <c r="C62" s="10">
        <f>prompt1!B60</f>
        <v>1</v>
      </c>
      <c r="D62" s="10">
        <f>prompt2!B60</f>
        <v>1</v>
      </c>
      <c r="E62" s="10">
        <f>prompt3!B60</f>
        <v>1</v>
      </c>
      <c r="F62" s="10">
        <f>prompt4!B60</f>
        <v>1</v>
      </c>
      <c r="G62" s="10">
        <f>prompt5!B60</f>
        <v>1</v>
      </c>
      <c r="H62" s="11">
        <f t="shared" si="0"/>
        <v>1</v>
      </c>
      <c r="I62" s="12">
        <f t="shared" si="1"/>
        <v>1</v>
      </c>
      <c r="J62" s="5"/>
      <c r="K62" s="5"/>
      <c r="L62" s="6">
        <f t="shared" si="5"/>
        <v>59</v>
      </c>
      <c r="M62" s="7">
        <f>Actual!$B60</f>
        <v>1</v>
      </c>
      <c r="N62" s="10">
        <f>classify1!B60</f>
        <v>1</v>
      </c>
      <c r="O62" s="10">
        <f>classify2!B60</f>
        <v>1</v>
      </c>
      <c r="P62" s="10">
        <f>classify3!B60</f>
        <v>1</v>
      </c>
      <c r="Q62" s="10">
        <f>classify4!B60</f>
        <v>1</v>
      </c>
      <c r="R62" s="10">
        <f>classify5!B60</f>
        <v>1</v>
      </c>
      <c r="S62" s="11">
        <f t="shared" si="2"/>
        <v>1</v>
      </c>
      <c r="T62" s="12">
        <f t="shared" si="3"/>
        <v>1</v>
      </c>
    </row>
    <row r="63" spans="1:20" x14ac:dyDescent="0.3">
      <c r="A63" s="6">
        <f t="shared" si="4"/>
        <v>60</v>
      </c>
      <c r="B63" s="7">
        <f>Actual!$B61</f>
        <v>1</v>
      </c>
      <c r="C63" s="10">
        <f>prompt1!B61</f>
        <v>1</v>
      </c>
      <c r="D63" s="10">
        <f>prompt2!B61</f>
        <v>1</v>
      </c>
      <c r="E63" s="10">
        <f>prompt3!B61</f>
        <v>1</v>
      </c>
      <c r="F63" s="10">
        <f>prompt4!B61</f>
        <v>1</v>
      </c>
      <c r="G63" s="10">
        <f>prompt5!B61</f>
        <v>1</v>
      </c>
      <c r="H63" s="11">
        <f t="shared" si="0"/>
        <v>1</v>
      </c>
      <c r="I63" s="12">
        <f t="shared" si="1"/>
        <v>1</v>
      </c>
      <c r="J63" s="5"/>
      <c r="K63" s="5"/>
      <c r="L63" s="6">
        <f t="shared" si="5"/>
        <v>60</v>
      </c>
      <c r="M63" s="7">
        <f>Actual!$B61</f>
        <v>1</v>
      </c>
      <c r="N63" s="10">
        <f>classify1!B61</f>
        <v>1</v>
      </c>
      <c r="O63" s="10">
        <f>classify2!B61</f>
        <v>1</v>
      </c>
      <c r="P63" s="10">
        <f>classify3!B61</f>
        <v>1</v>
      </c>
      <c r="Q63" s="10">
        <f>classify4!B61</f>
        <v>1</v>
      </c>
      <c r="R63" s="10">
        <f>classify5!B61</f>
        <v>1</v>
      </c>
      <c r="S63" s="11">
        <f t="shared" si="2"/>
        <v>1</v>
      </c>
      <c r="T63" s="12">
        <f t="shared" si="3"/>
        <v>1</v>
      </c>
    </row>
    <row r="64" spans="1:20" x14ac:dyDescent="0.3">
      <c r="A64" s="6">
        <f t="shared" si="4"/>
        <v>61</v>
      </c>
      <c r="B64" s="7">
        <f>Actual!$B62</f>
        <v>1</v>
      </c>
      <c r="C64" s="10">
        <f>prompt1!B62</f>
        <v>1</v>
      </c>
      <c r="D64" s="10">
        <f>prompt2!B62</f>
        <v>1</v>
      </c>
      <c r="E64" s="10">
        <f>prompt3!B62</f>
        <v>1</v>
      </c>
      <c r="F64" s="10">
        <f>prompt4!B62</f>
        <v>1</v>
      </c>
      <c r="G64" s="10">
        <f>prompt5!B62</f>
        <v>1</v>
      </c>
      <c r="H64" s="11">
        <f t="shared" si="0"/>
        <v>1</v>
      </c>
      <c r="I64" s="12">
        <f t="shared" si="1"/>
        <v>1</v>
      </c>
      <c r="J64" s="5"/>
      <c r="K64" s="5"/>
      <c r="L64" s="6">
        <f t="shared" si="5"/>
        <v>61</v>
      </c>
      <c r="M64" s="7">
        <f>Actual!$B62</f>
        <v>1</v>
      </c>
      <c r="N64" s="10">
        <f>classify1!B62</f>
        <v>1</v>
      </c>
      <c r="O64" s="10">
        <f>classify2!B62</f>
        <v>1</v>
      </c>
      <c r="P64" s="10">
        <f>classify3!B62</f>
        <v>1</v>
      </c>
      <c r="Q64" s="10">
        <f>classify4!B62</f>
        <v>1</v>
      </c>
      <c r="R64" s="10">
        <f>classify5!B62</f>
        <v>1</v>
      </c>
      <c r="S64" s="11">
        <f t="shared" si="2"/>
        <v>1</v>
      </c>
      <c r="T64" s="12">
        <f t="shared" si="3"/>
        <v>1</v>
      </c>
    </row>
    <row r="65" spans="1:20" x14ac:dyDescent="0.3">
      <c r="A65" s="6">
        <f t="shared" si="4"/>
        <v>62</v>
      </c>
      <c r="B65" s="7">
        <f>Actual!$B63</f>
        <v>1</v>
      </c>
      <c r="C65" s="13">
        <f>prompt1!B63</f>
        <v>0</v>
      </c>
      <c r="D65" s="13">
        <f>prompt2!B63</f>
        <v>0</v>
      </c>
      <c r="E65" s="13">
        <f>prompt3!B63</f>
        <v>0</v>
      </c>
      <c r="F65" s="13">
        <f>prompt4!B63</f>
        <v>0</v>
      </c>
      <c r="G65" s="13">
        <f>prompt5!B63</f>
        <v>0</v>
      </c>
      <c r="H65" s="11">
        <f t="shared" si="0"/>
        <v>0</v>
      </c>
      <c r="I65" s="12">
        <f t="shared" si="1"/>
        <v>1</v>
      </c>
      <c r="J65" s="5"/>
      <c r="K65" s="5"/>
      <c r="L65" s="6">
        <f t="shared" si="5"/>
        <v>62</v>
      </c>
      <c r="M65" s="7">
        <f>Actual!$B63</f>
        <v>1</v>
      </c>
      <c r="N65" s="13">
        <f>classify1!B63</f>
        <v>0</v>
      </c>
      <c r="O65" s="13">
        <f>classify2!B63</f>
        <v>0</v>
      </c>
      <c r="P65" s="13">
        <f>classify3!B63</f>
        <v>0</v>
      </c>
      <c r="Q65" s="13">
        <f>classify4!B63</f>
        <v>0</v>
      </c>
      <c r="R65" s="13">
        <f>classify5!B63</f>
        <v>0</v>
      </c>
      <c r="S65" s="11">
        <f t="shared" si="2"/>
        <v>0</v>
      </c>
      <c r="T65" s="12">
        <f t="shared" si="3"/>
        <v>1</v>
      </c>
    </row>
    <row r="66" spans="1:20" x14ac:dyDescent="0.3">
      <c r="A66" s="6">
        <f t="shared" si="4"/>
        <v>63</v>
      </c>
      <c r="B66" s="7">
        <f>Actual!$B64</f>
        <v>0</v>
      </c>
      <c r="C66" s="13">
        <f>prompt1!B64</f>
        <v>1</v>
      </c>
      <c r="D66" s="13">
        <f>prompt2!B64</f>
        <v>1</v>
      </c>
      <c r="E66" s="13">
        <f>prompt3!B64</f>
        <v>1</v>
      </c>
      <c r="F66" s="13">
        <f>prompt4!B64</f>
        <v>1</v>
      </c>
      <c r="G66" s="13">
        <f>prompt5!B64</f>
        <v>1</v>
      </c>
      <c r="H66" s="11">
        <f t="shared" si="0"/>
        <v>0</v>
      </c>
      <c r="I66" s="12">
        <f t="shared" si="1"/>
        <v>1</v>
      </c>
      <c r="J66" s="5"/>
      <c r="K66" s="5"/>
      <c r="L66" s="6">
        <f t="shared" si="5"/>
        <v>63</v>
      </c>
      <c r="M66" s="7">
        <f>Actual!$B64</f>
        <v>0</v>
      </c>
      <c r="N66" s="13">
        <f>classify1!B64</f>
        <v>1</v>
      </c>
      <c r="O66" s="13">
        <f>classify2!B64</f>
        <v>1</v>
      </c>
      <c r="P66" s="13">
        <f>classify3!B64</f>
        <v>1</v>
      </c>
      <c r="Q66" s="13">
        <f>classify4!B64</f>
        <v>1</v>
      </c>
      <c r="R66" s="13">
        <f>classify5!B64</f>
        <v>1</v>
      </c>
      <c r="S66" s="11">
        <f t="shared" si="2"/>
        <v>0</v>
      </c>
      <c r="T66" s="12">
        <f t="shared" si="3"/>
        <v>1</v>
      </c>
    </row>
    <row r="67" spans="1:20" x14ac:dyDescent="0.3">
      <c r="A67" s="14"/>
      <c r="B67" s="15" t="s">
        <v>18</v>
      </c>
      <c r="C67" s="16">
        <f t="array" ref="C67">SUMPRODUCT(--(C4:C66=B4:B66)) / COUNTA(B4:B66)</f>
        <v>0.82539682539682535</v>
      </c>
      <c r="D67" s="16">
        <f t="array" ref="D67">SUMPRODUCT(--(D4:D66=B4:B66)) / COUNTA(B4:B66)</f>
        <v>0.8571428571428571</v>
      </c>
      <c r="E67" s="16">
        <f t="array" ref="E67">SUMPRODUCT(--(E4:E66=B4:B66)) / COUNTA(B4:B66)</f>
        <v>0.84126984126984128</v>
      </c>
      <c r="F67" s="16">
        <f t="array" ref="F67">SUMPRODUCT(--(F4:F66=B4:B66)) / COUNTA(B4:B66)</f>
        <v>0.80952380952380953</v>
      </c>
      <c r="G67" s="16">
        <f t="array" ref="G67">SUMPRODUCT(--(G4:G66=B4:B66)) / COUNTA(B4:B66)</f>
        <v>0.82539682539682535</v>
      </c>
      <c r="H67" s="16">
        <f>AVERAGE(H4:H66)</f>
        <v>0.83174603174603179</v>
      </c>
      <c r="I67" s="17">
        <f>AVERAGE(I4:J66)</f>
        <v>0.98730158730158735</v>
      </c>
      <c r="J67" s="5"/>
      <c r="K67" s="5"/>
      <c r="L67" s="14"/>
      <c r="M67" s="15" t="s">
        <v>18</v>
      </c>
      <c r="N67" s="16">
        <f t="array" ref="N67">SUMPRODUCT(--(N4:N66=M4:M66)) / COUNTA(M4:M66)</f>
        <v>0.82539682539682535</v>
      </c>
      <c r="O67" s="16">
        <f t="array" ref="O67">SUMPRODUCT(--(O4:O66=M4:M66)) / COUNTA(M4:M66)</f>
        <v>0.79365079365079361</v>
      </c>
      <c r="P67" s="16">
        <f t="array" ref="P67">SUMPRODUCT(--(P4:P66=M4:M66)) / COUNTA(M4:M66)</f>
        <v>0.82539682539682535</v>
      </c>
      <c r="Q67" s="16">
        <f t="array" ref="Q67">SUMPRODUCT(--(Q4:Q66=M4:M66)) / COUNTA(M4:M66)</f>
        <v>0.82539682539682535</v>
      </c>
      <c r="R67" s="16">
        <f t="array" ref="R67">SUMPRODUCT(--(R4:R66=M4:M66)) / COUNTA(M4:M66)</f>
        <v>0.82539682539682535</v>
      </c>
      <c r="S67" s="16">
        <f t="shared" ref="S67:T67" si="6">AVERAGE(S4:S66)</f>
        <v>0.81904761904761914</v>
      </c>
      <c r="T67" s="17">
        <f t="shared" si="6"/>
        <v>0.98730158730158735</v>
      </c>
    </row>
  </sheetData>
  <mergeCells count="3">
    <mergeCell ref="A1:T1"/>
    <mergeCell ref="A2:I2"/>
    <mergeCell ref="L2:T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96</v>
      </c>
      <c r="D2" s="19" t="s">
        <v>22</v>
      </c>
    </row>
    <row r="3" spans="1:4" ht="14.4" x14ac:dyDescent="0.3">
      <c r="A3" s="19">
        <v>2</v>
      </c>
      <c r="B3" s="19">
        <v>0</v>
      </c>
      <c r="C3" s="19">
        <v>86</v>
      </c>
      <c r="D3" s="19" t="s">
        <v>23</v>
      </c>
    </row>
    <row r="4" spans="1:4" ht="14.4" x14ac:dyDescent="0.3">
      <c r="A4" s="19">
        <v>3</v>
      </c>
      <c r="B4" s="19">
        <v>1</v>
      </c>
      <c r="C4" s="19">
        <v>99</v>
      </c>
      <c r="D4" s="19" t="s">
        <v>24</v>
      </c>
    </row>
    <row r="5" spans="1:4" ht="14.4" x14ac:dyDescent="0.3">
      <c r="A5" s="19">
        <v>4</v>
      </c>
      <c r="B5" s="19">
        <v>0</v>
      </c>
      <c r="C5" s="19">
        <v>92</v>
      </c>
      <c r="D5" s="19" t="s">
        <v>25</v>
      </c>
    </row>
    <row r="6" spans="1:4" ht="14.4" x14ac:dyDescent="0.3">
      <c r="A6" s="19">
        <v>5</v>
      </c>
      <c r="B6" s="19">
        <v>1</v>
      </c>
      <c r="C6" s="19">
        <v>97</v>
      </c>
      <c r="D6" s="19" t="s">
        <v>26</v>
      </c>
    </row>
    <row r="7" spans="1:4" ht="14.4" x14ac:dyDescent="0.3">
      <c r="A7" s="19">
        <v>6</v>
      </c>
      <c r="B7" s="19">
        <v>1</v>
      </c>
      <c r="C7" s="19">
        <v>96</v>
      </c>
      <c r="D7" s="19" t="s">
        <v>27</v>
      </c>
    </row>
    <row r="8" spans="1:4" ht="14.4" x14ac:dyDescent="0.3">
      <c r="A8" s="19">
        <v>7</v>
      </c>
      <c r="B8" s="19">
        <v>0</v>
      </c>
      <c r="C8" s="19">
        <v>92</v>
      </c>
      <c r="D8" s="19" t="s">
        <v>28</v>
      </c>
    </row>
    <row r="9" spans="1:4" ht="14.4" x14ac:dyDescent="0.3">
      <c r="A9" s="19">
        <v>8</v>
      </c>
      <c r="B9" s="19">
        <v>0</v>
      </c>
      <c r="C9" s="19">
        <v>71</v>
      </c>
      <c r="D9" s="19" t="s">
        <v>29</v>
      </c>
    </row>
    <row r="10" spans="1:4" ht="14.4" x14ac:dyDescent="0.3">
      <c r="A10" s="19">
        <v>9</v>
      </c>
      <c r="B10" s="19">
        <v>1</v>
      </c>
      <c r="C10" s="19">
        <v>86</v>
      </c>
      <c r="D10" s="19" t="s">
        <v>30</v>
      </c>
    </row>
    <row r="11" spans="1:4" ht="14.4" x14ac:dyDescent="0.3">
      <c r="A11" s="19">
        <v>10</v>
      </c>
      <c r="B11" s="19">
        <v>1</v>
      </c>
      <c r="C11" s="19">
        <v>72</v>
      </c>
      <c r="D11" s="19" t="s">
        <v>31</v>
      </c>
    </row>
    <row r="12" spans="1:4" ht="14.4" x14ac:dyDescent="0.3">
      <c r="A12" s="19">
        <v>11</v>
      </c>
      <c r="B12" s="19">
        <v>0</v>
      </c>
      <c r="C12" s="19">
        <v>74</v>
      </c>
      <c r="D12" s="19" t="s">
        <v>32</v>
      </c>
    </row>
    <row r="13" spans="1:4" ht="14.4" x14ac:dyDescent="0.3">
      <c r="A13" s="19">
        <v>12</v>
      </c>
      <c r="B13" s="19">
        <v>0</v>
      </c>
      <c r="C13" s="19">
        <v>78</v>
      </c>
      <c r="D13" s="19" t="s">
        <v>33</v>
      </c>
    </row>
    <row r="14" spans="1:4" ht="14.4" x14ac:dyDescent="0.3">
      <c r="A14" s="19">
        <v>13</v>
      </c>
      <c r="B14" s="19">
        <v>1</v>
      </c>
      <c r="C14" s="19">
        <v>97</v>
      </c>
      <c r="D14" s="19" t="s">
        <v>34</v>
      </c>
    </row>
    <row r="15" spans="1:4" ht="14.4" x14ac:dyDescent="0.3">
      <c r="A15" s="19">
        <v>14</v>
      </c>
      <c r="B15" s="19">
        <v>0</v>
      </c>
      <c r="C15" s="19">
        <v>66</v>
      </c>
      <c r="D15" s="19" t="s">
        <v>35</v>
      </c>
    </row>
    <row r="16" spans="1:4" ht="14.4" x14ac:dyDescent="0.3">
      <c r="A16" s="19">
        <v>15</v>
      </c>
      <c r="B16" s="19">
        <v>0</v>
      </c>
      <c r="C16" s="19">
        <v>78</v>
      </c>
      <c r="D16" s="19" t="s">
        <v>36</v>
      </c>
    </row>
    <row r="17" spans="1:4" ht="14.4" x14ac:dyDescent="0.3">
      <c r="A17" s="19">
        <v>16</v>
      </c>
      <c r="B17" s="19">
        <v>1</v>
      </c>
      <c r="C17" s="19">
        <v>87</v>
      </c>
      <c r="D17" s="19" t="s">
        <v>37</v>
      </c>
    </row>
    <row r="18" spans="1:4" ht="14.4" x14ac:dyDescent="0.3">
      <c r="A18" s="19">
        <v>17</v>
      </c>
      <c r="B18" s="19">
        <v>0</v>
      </c>
      <c r="C18" s="19">
        <v>88</v>
      </c>
      <c r="D18" s="19" t="s">
        <v>38</v>
      </c>
    </row>
    <row r="19" spans="1:4" ht="14.4" x14ac:dyDescent="0.3">
      <c r="A19" s="19">
        <v>18</v>
      </c>
      <c r="B19" s="19">
        <v>1</v>
      </c>
      <c r="C19" s="19">
        <v>92</v>
      </c>
      <c r="D19" s="19" t="s">
        <v>39</v>
      </c>
    </row>
    <row r="20" spans="1:4" ht="14.4" x14ac:dyDescent="0.3">
      <c r="A20" s="19">
        <v>19</v>
      </c>
      <c r="B20" s="19">
        <v>1</v>
      </c>
      <c r="C20" s="19">
        <v>97</v>
      </c>
      <c r="D20" s="19" t="s">
        <v>40</v>
      </c>
    </row>
    <row r="21" spans="1:4" ht="15.75" customHeight="1" x14ac:dyDescent="0.3">
      <c r="A21" s="19">
        <v>20</v>
      </c>
      <c r="B21" s="19">
        <v>1</v>
      </c>
      <c r="C21" s="19">
        <v>87</v>
      </c>
      <c r="D21" s="19" t="s">
        <v>41</v>
      </c>
    </row>
    <row r="22" spans="1:4" ht="15.75" customHeight="1" x14ac:dyDescent="0.3">
      <c r="A22" s="19">
        <v>21</v>
      </c>
      <c r="B22" s="19">
        <v>1</v>
      </c>
      <c r="C22" s="19">
        <v>72</v>
      </c>
      <c r="D22" s="19" t="s">
        <v>42</v>
      </c>
    </row>
    <row r="23" spans="1:4" ht="15.75" customHeight="1" x14ac:dyDescent="0.3">
      <c r="A23" s="19">
        <v>22</v>
      </c>
      <c r="B23" s="19">
        <v>1</v>
      </c>
      <c r="C23" s="19">
        <v>82</v>
      </c>
      <c r="D23" s="19" t="s">
        <v>43</v>
      </c>
    </row>
    <row r="24" spans="1:4" ht="15.75" customHeight="1" x14ac:dyDescent="0.3">
      <c r="A24" s="19">
        <v>23</v>
      </c>
      <c r="B24" s="19">
        <v>1</v>
      </c>
      <c r="C24" s="19">
        <v>78</v>
      </c>
      <c r="D24" s="19" t="s">
        <v>44</v>
      </c>
    </row>
    <row r="25" spans="1:4" ht="15.75" customHeight="1" x14ac:dyDescent="0.3">
      <c r="A25" s="19">
        <v>24</v>
      </c>
      <c r="B25" s="19">
        <v>1</v>
      </c>
      <c r="C25" s="19">
        <v>86</v>
      </c>
      <c r="D25" s="19" t="s">
        <v>45</v>
      </c>
    </row>
    <row r="26" spans="1:4" ht="15.75" customHeight="1" x14ac:dyDescent="0.3">
      <c r="A26" s="19">
        <v>25</v>
      </c>
      <c r="B26" s="19">
        <v>1</v>
      </c>
      <c r="C26" s="19">
        <v>97</v>
      </c>
      <c r="D26" s="19" t="s">
        <v>46</v>
      </c>
    </row>
    <row r="27" spans="1:4" ht="15.75" customHeight="1" x14ac:dyDescent="0.3">
      <c r="A27" s="19">
        <v>26</v>
      </c>
      <c r="B27" s="19">
        <v>1</v>
      </c>
      <c r="C27" s="19">
        <v>97</v>
      </c>
      <c r="D27" s="19" t="s">
        <v>47</v>
      </c>
    </row>
    <row r="28" spans="1:4" ht="15.75" customHeight="1" x14ac:dyDescent="0.3">
      <c r="A28" s="19">
        <v>27</v>
      </c>
      <c r="B28" s="19">
        <v>1</v>
      </c>
      <c r="C28" s="19">
        <v>97</v>
      </c>
      <c r="D28" s="19" t="s">
        <v>48</v>
      </c>
    </row>
    <row r="29" spans="1:4" ht="15.75" customHeight="1" x14ac:dyDescent="0.3">
      <c r="A29" s="19">
        <v>28</v>
      </c>
      <c r="B29" s="19">
        <v>1</v>
      </c>
      <c r="C29" s="19">
        <v>82</v>
      </c>
      <c r="D29" s="19" t="s">
        <v>49</v>
      </c>
    </row>
    <row r="30" spans="1:4" ht="15.75" customHeight="1" x14ac:dyDescent="0.3">
      <c r="A30" s="19">
        <v>29</v>
      </c>
      <c r="B30" s="19">
        <v>1</v>
      </c>
      <c r="C30" s="19">
        <v>78</v>
      </c>
      <c r="D30" s="19" t="s">
        <v>50</v>
      </c>
    </row>
    <row r="31" spans="1:4" ht="15.75" customHeight="1" x14ac:dyDescent="0.3">
      <c r="A31" s="19">
        <v>30</v>
      </c>
      <c r="B31" s="19">
        <v>0</v>
      </c>
      <c r="C31" s="19">
        <v>78</v>
      </c>
      <c r="D31" s="19" t="s">
        <v>51</v>
      </c>
    </row>
    <row r="32" spans="1:4" ht="15.75" customHeight="1" x14ac:dyDescent="0.3">
      <c r="A32" s="19">
        <v>31</v>
      </c>
      <c r="B32" s="19">
        <v>1</v>
      </c>
      <c r="C32" s="19">
        <v>97</v>
      </c>
      <c r="D32" s="19" t="s">
        <v>52</v>
      </c>
    </row>
    <row r="33" spans="1:4" ht="15.75" customHeight="1" x14ac:dyDescent="0.3">
      <c r="A33" s="19">
        <v>32</v>
      </c>
      <c r="B33" s="19">
        <v>0</v>
      </c>
      <c r="C33" s="19">
        <v>92</v>
      </c>
      <c r="D33" s="19" t="s">
        <v>53</v>
      </c>
    </row>
    <row r="34" spans="1:4" ht="15.75" customHeight="1" x14ac:dyDescent="0.3">
      <c r="A34" s="19">
        <v>33</v>
      </c>
      <c r="B34" s="19">
        <v>0</v>
      </c>
      <c r="C34" s="19">
        <v>92</v>
      </c>
      <c r="D34" s="19" t="s">
        <v>54</v>
      </c>
    </row>
    <row r="35" spans="1:4" ht="15.75" customHeight="1" x14ac:dyDescent="0.3">
      <c r="A35" s="19">
        <v>34</v>
      </c>
      <c r="B35" s="19">
        <v>0</v>
      </c>
      <c r="C35" s="19">
        <v>72</v>
      </c>
      <c r="D35" s="19" t="s">
        <v>55</v>
      </c>
    </row>
    <row r="36" spans="1:4" ht="15.75" customHeight="1" x14ac:dyDescent="0.3">
      <c r="A36" s="19">
        <v>35</v>
      </c>
      <c r="B36" s="19">
        <v>0</v>
      </c>
      <c r="C36" s="19">
        <v>90</v>
      </c>
      <c r="D36" s="19" t="s">
        <v>56</v>
      </c>
    </row>
    <row r="37" spans="1:4" ht="15.75" customHeight="1" x14ac:dyDescent="0.3">
      <c r="A37" s="19">
        <v>36</v>
      </c>
      <c r="B37" s="19">
        <v>0</v>
      </c>
      <c r="C37" s="19">
        <v>87</v>
      </c>
      <c r="D37" s="19" t="s">
        <v>57</v>
      </c>
    </row>
    <row r="38" spans="1:4" ht="15.75" customHeight="1" x14ac:dyDescent="0.3">
      <c r="A38" s="19">
        <v>37</v>
      </c>
      <c r="B38" s="19">
        <v>1</v>
      </c>
      <c r="C38" s="19">
        <v>97</v>
      </c>
      <c r="D38" s="19" t="s">
        <v>58</v>
      </c>
    </row>
    <row r="39" spans="1:4" ht="15.75" customHeight="1" x14ac:dyDescent="0.3">
      <c r="A39" s="19">
        <v>38</v>
      </c>
      <c r="B39" s="19">
        <v>0</v>
      </c>
      <c r="C39" s="19">
        <v>88</v>
      </c>
      <c r="D39" s="19" t="s">
        <v>59</v>
      </c>
    </row>
    <row r="40" spans="1:4" ht="15.75" customHeight="1" x14ac:dyDescent="0.3">
      <c r="A40" s="19">
        <v>39</v>
      </c>
      <c r="B40" s="19">
        <v>1</v>
      </c>
      <c r="C40" s="19">
        <v>98</v>
      </c>
      <c r="D40" s="19" t="s">
        <v>60</v>
      </c>
    </row>
    <row r="41" spans="1:4" ht="15.75" customHeight="1" x14ac:dyDescent="0.3">
      <c r="A41" s="19">
        <v>40</v>
      </c>
      <c r="B41" s="19">
        <v>1</v>
      </c>
      <c r="C41" s="19">
        <v>90</v>
      </c>
      <c r="D41" s="19" t="s">
        <v>61</v>
      </c>
    </row>
    <row r="42" spans="1:4" ht="15.75" customHeight="1" x14ac:dyDescent="0.3">
      <c r="A42" s="19">
        <v>41</v>
      </c>
      <c r="B42" s="19">
        <v>1</v>
      </c>
      <c r="C42" s="19">
        <v>87</v>
      </c>
      <c r="D42" s="19" t="s">
        <v>62</v>
      </c>
    </row>
    <row r="43" spans="1:4" ht="15.75" customHeight="1" x14ac:dyDescent="0.3">
      <c r="A43" s="19">
        <v>42</v>
      </c>
      <c r="B43" s="19">
        <v>0</v>
      </c>
      <c r="C43" s="19">
        <v>78</v>
      </c>
      <c r="D43" s="19" t="s">
        <v>63</v>
      </c>
    </row>
    <row r="44" spans="1:4" ht="15.75" customHeight="1" x14ac:dyDescent="0.3">
      <c r="A44" s="19">
        <v>43</v>
      </c>
      <c r="B44" s="19">
        <v>0</v>
      </c>
      <c r="C44" s="19">
        <v>87</v>
      </c>
      <c r="D44" s="19" t="s">
        <v>64</v>
      </c>
    </row>
    <row r="45" spans="1:4" ht="15.75" customHeight="1" x14ac:dyDescent="0.3">
      <c r="A45" s="19">
        <v>44</v>
      </c>
      <c r="B45" s="19">
        <v>0</v>
      </c>
      <c r="C45" s="19">
        <v>82</v>
      </c>
      <c r="D45" s="19" t="s">
        <v>65</v>
      </c>
    </row>
    <row r="46" spans="1:4" ht="15.75" customHeight="1" x14ac:dyDescent="0.3">
      <c r="A46" s="19">
        <v>45</v>
      </c>
      <c r="B46" s="19">
        <v>0</v>
      </c>
      <c r="C46" s="19">
        <v>63</v>
      </c>
      <c r="D46" s="19" t="s">
        <v>66</v>
      </c>
    </row>
    <row r="47" spans="1:4" ht="15.75" customHeight="1" x14ac:dyDescent="0.3">
      <c r="A47" s="19">
        <v>46</v>
      </c>
      <c r="B47" s="19">
        <v>0</v>
      </c>
      <c r="C47" s="19">
        <v>88</v>
      </c>
      <c r="D47" s="19" t="s">
        <v>67</v>
      </c>
    </row>
    <row r="48" spans="1:4" ht="15.75" customHeight="1" x14ac:dyDescent="0.3">
      <c r="A48" s="19">
        <v>47</v>
      </c>
      <c r="B48" s="19">
        <v>1</v>
      </c>
      <c r="C48" s="19">
        <v>97</v>
      </c>
      <c r="D48" s="19" t="s">
        <v>68</v>
      </c>
    </row>
    <row r="49" spans="1:4" ht="15.75" customHeight="1" x14ac:dyDescent="0.3">
      <c r="A49" s="19">
        <v>48</v>
      </c>
      <c r="B49" s="19">
        <v>0</v>
      </c>
      <c r="C49" s="19">
        <v>73</v>
      </c>
      <c r="D49" s="19" t="s">
        <v>69</v>
      </c>
    </row>
    <row r="50" spans="1:4" ht="15.75" customHeight="1" x14ac:dyDescent="0.3">
      <c r="A50" s="19">
        <v>49</v>
      </c>
      <c r="B50" s="19">
        <v>1</v>
      </c>
      <c r="C50" s="19">
        <v>98</v>
      </c>
      <c r="D50" s="19" t="s">
        <v>70</v>
      </c>
    </row>
    <row r="51" spans="1:4" ht="15.75" customHeight="1" x14ac:dyDescent="0.3">
      <c r="A51" s="19">
        <v>50</v>
      </c>
      <c r="B51" s="19">
        <v>1</v>
      </c>
      <c r="C51" s="19">
        <v>78</v>
      </c>
      <c r="D51" s="19" t="s">
        <v>71</v>
      </c>
    </row>
    <row r="52" spans="1:4" ht="15.75" customHeight="1" x14ac:dyDescent="0.3">
      <c r="A52" s="19">
        <v>51</v>
      </c>
      <c r="B52" s="19">
        <v>1</v>
      </c>
      <c r="C52" s="19">
        <v>96</v>
      </c>
      <c r="D52" s="19" t="s">
        <v>72</v>
      </c>
    </row>
    <row r="53" spans="1:4" ht="15.75" customHeight="1" x14ac:dyDescent="0.3">
      <c r="A53" s="19">
        <v>52</v>
      </c>
      <c r="B53" s="19">
        <v>0</v>
      </c>
      <c r="C53" s="19">
        <v>88</v>
      </c>
      <c r="D53" s="19" t="s">
        <v>73</v>
      </c>
    </row>
    <row r="54" spans="1:4" ht="15.75" customHeight="1" x14ac:dyDescent="0.3">
      <c r="A54" s="19">
        <v>53</v>
      </c>
      <c r="B54" s="19">
        <v>0</v>
      </c>
      <c r="C54" s="19">
        <v>93</v>
      </c>
      <c r="D54" s="19" t="s">
        <v>74</v>
      </c>
    </row>
    <row r="55" spans="1:4" ht="15.75" customHeight="1" x14ac:dyDescent="0.3">
      <c r="A55" s="19">
        <v>54</v>
      </c>
      <c r="B55" s="19">
        <v>0</v>
      </c>
      <c r="C55" s="19">
        <v>68</v>
      </c>
      <c r="D55" s="19" t="s">
        <v>75</v>
      </c>
    </row>
    <row r="56" spans="1:4" ht="15.75" customHeight="1" x14ac:dyDescent="0.3">
      <c r="A56" s="19">
        <v>55</v>
      </c>
      <c r="B56" s="19">
        <v>1</v>
      </c>
      <c r="C56" s="19">
        <v>99</v>
      </c>
      <c r="D56" s="19" t="s">
        <v>76</v>
      </c>
    </row>
    <row r="57" spans="1:4" ht="15.75" customHeight="1" x14ac:dyDescent="0.3">
      <c r="A57" s="19">
        <v>56</v>
      </c>
      <c r="B57" s="19">
        <v>0</v>
      </c>
      <c r="C57" s="19">
        <v>92</v>
      </c>
      <c r="D57" s="19" t="s">
        <v>77</v>
      </c>
    </row>
    <row r="58" spans="1:4" ht="15.75" customHeight="1" x14ac:dyDescent="0.3">
      <c r="A58" s="19">
        <v>57</v>
      </c>
      <c r="B58" s="19">
        <v>1</v>
      </c>
      <c r="C58" s="19">
        <v>94</v>
      </c>
      <c r="D58" s="19" t="s">
        <v>78</v>
      </c>
    </row>
    <row r="59" spans="1:4" ht="15.75" customHeight="1" x14ac:dyDescent="0.3">
      <c r="A59" s="19">
        <v>58</v>
      </c>
      <c r="B59" s="19">
        <v>1</v>
      </c>
      <c r="C59" s="19">
        <v>99</v>
      </c>
      <c r="D59" s="19" t="s">
        <v>79</v>
      </c>
    </row>
    <row r="60" spans="1:4" ht="15.75" customHeight="1" x14ac:dyDescent="0.3">
      <c r="A60" s="19">
        <v>59</v>
      </c>
      <c r="B60" s="19">
        <v>1</v>
      </c>
      <c r="C60" s="19">
        <v>83</v>
      </c>
      <c r="D60" s="19" t="s">
        <v>80</v>
      </c>
    </row>
    <row r="61" spans="1:4" ht="15.75" customHeight="1" x14ac:dyDescent="0.3">
      <c r="A61" s="19">
        <v>60</v>
      </c>
      <c r="B61" s="19">
        <v>1</v>
      </c>
      <c r="C61" s="19">
        <v>87</v>
      </c>
      <c r="D61" s="19" t="s">
        <v>81</v>
      </c>
    </row>
    <row r="62" spans="1:4" ht="15.75" customHeight="1" x14ac:dyDescent="0.3">
      <c r="A62" s="19">
        <v>61</v>
      </c>
      <c r="B62" s="19">
        <v>1</v>
      </c>
      <c r="C62" s="19">
        <v>83</v>
      </c>
      <c r="D62" s="19" t="s">
        <v>82</v>
      </c>
    </row>
    <row r="63" spans="1:4" ht="15.75" customHeight="1" x14ac:dyDescent="0.3">
      <c r="A63" s="19">
        <v>62</v>
      </c>
      <c r="B63" s="19">
        <v>0</v>
      </c>
      <c r="C63" s="19">
        <v>84</v>
      </c>
      <c r="D63" s="19" t="s">
        <v>83</v>
      </c>
    </row>
    <row r="64" spans="1:4" ht="15.75" customHeight="1" x14ac:dyDescent="0.3">
      <c r="A64" s="19">
        <v>63</v>
      </c>
      <c r="B64" s="19">
        <v>1</v>
      </c>
      <c r="C64" s="19">
        <v>78</v>
      </c>
      <c r="D64" s="19" t="s">
        <v>84</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93</v>
      </c>
      <c r="D2" s="19" t="s">
        <v>85</v>
      </c>
    </row>
    <row r="3" spans="1:4" ht="14.4" x14ac:dyDescent="0.3">
      <c r="A3" s="19">
        <v>2</v>
      </c>
      <c r="B3" s="19">
        <v>0</v>
      </c>
      <c r="C3" s="19">
        <v>78</v>
      </c>
      <c r="D3" s="19" t="s">
        <v>86</v>
      </c>
    </row>
    <row r="4" spans="1:4" ht="14.4" x14ac:dyDescent="0.3">
      <c r="A4" s="19">
        <v>3</v>
      </c>
      <c r="B4" s="19">
        <v>1</v>
      </c>
      <c r="C4" s="19">
        <v>99</v>
      </c>
      <c r="D4" s="19" t="s">
        <v>87</v>
      </c>
    </row>
    <row r="5" spans="1:4" ht="14.4" x14ac:dyDescent="0.3">
      <c r="A5" s="19">
        <v>4</v>
      </c>
      <c r="B5" s="19">
        <v>0</v>
      </c>
      <c r="C5" s="19">
        <v>92</v>
      </c>
      <c r="D5" s="19" t="s">
        <v>88</v>
      </c>
    </row>
    <row r="6" spans="1:4" ht="14.4" x14ac:dyDescent="0.3">
      <c r="A6" s="19">
        <v>5</v>
      </c>
      <c r="B6" s="19">
        <v>1</v>
      </c>
      <c r="C6" s="19">
        <v>97</v>
      </c>
      <c r="D6" s="19" t="s">
        <v>89</v>
      </c>
    </row>
    <row r="7" spans="1:4" ht="14.4" x14ac:dyDescent="0.3">
      <c r="A7" s="19">
        <v>6</v>
      </c>
      <c r="B7" s="19">
        <v>1</v>
      </c>
      <c r="C7" s="19">
        <v>93</v>
      </c>
      <c r="D7" s="19" t="s">
        <v>90</v>
      </c>
    </row>
    <row r="8" spans="1:4" ht="14.4" x14ac:dyDescent="0.3">
      <c r="A8" s="19">
        <v>7</v>
      </c>
      <c r="B8" s="19">
        <v>0</v>
      </c>
      <c r="C8" s="19">
        <v>90</v>
      </c>
      <c r="D8" s="19" t="s">
        <v>91</v>
      </c>
    </row>
    <row r="9" spans="1:4" ht="14.4" x14ac:dyDescent="0.3">
      <c r="A9" s="19">
        <v>8</v>
      </c>
      <c r="B9" s="19">
        <v>0</v>
      </c>
      <c r="C9" s="19">
        <v>66</v>
      </c>
      <c r="D9" s="19" t="s">
        <v>92</v>
      </c>
    </row>
    <row r="10" spans="1:4" ht="14.4" x14ac:dyDescent="0.3">
      <c r="A10" s="19">
        <v>9</v>
      </c>
      <c r="B10" s="19">
        <v>1</v>
      </c>
      <c r="C10" s="19">
        <v>92</v>
      </c>
      <c r="D10" s="19" t="s">
        <v>93</v>
      </c>
    </row>
    <row r="11" spans="1:4" ht="14.4" x14ac:dyDescent="0.3">
      <c r="A11" s="19">
        <v>10</v>
      </c>
      <c r="B11" s="19">
        <v>1</v>
      </c>
      <c r="C11" s="19">
        <v>74</v>
      </c>
      <c r="D11" s="19" t="s">
        <v>94</v>
      </c>
    </row>
    <row r="12" spans="1:4" ht="14.4" x14ac:dyDescent="0.3">
      <c r="A12" s="19">
        <v>11</v>
      </c>
      <c r="B12" s="19">
        <v>0</v>
      </c>
      <c r="C12" s="19">
        <v>72</v>
      </c>
      <c r="D12" s="19" t="s">
        <v>95</v>
      </c>
    </row>
    <row r="13" spans="1:4" ht="14.4" x14ac:dyDescent="0.3">
      <c r="A13" s="19">
        <v>12</v>
      </c>
      <c r="B13" s="19">
        <v>0</v>
      </c>
      <c r="C13" s="19">
        <v>78</v>
      </c>
      <c r="D13" s="19" t="s">
        <v>96</v>
      </c>
    </row>
    <row r="14" spans="1:4" ht="14.4" x14ac:dyDescent="0.3">
      <c r="A14" s="19">
        <v>13</v>
      </c>
      <c r="B14" s="19">
        <v>1</v>
      </c>
      <c r="C14" s="19">
        <v>96</v>
      </c>
      <c r="D14" s="19" t="s">
        <v>97</v>
      </c>
    </row>
    <row r="15" spans="1:4" ht="14.4" x14ac:dyDescent="0.3">
      <c r="A15" s="19">
        <v>14</v>
      </c>
      <c r="B15" s="19">
        <v>0</v>
      </c>
      <c r="C15" s="19">
        <v>72</v>
      </c>
      <c r="D15" s="19" t="s">
        <v>98</v>
      </c>
    </row>
    <row r="16" spans="1:4" ht="14.4" x14ac:dyDescent="0.3">
      <c r="A16" s="19">
        <v>15</v>
      </c>
      <c r="B16" s="19">
        <v>0</v>
      </c>
      <c r="C16" s="19">
        <v>72</v>
      </c>
      <c r="D16" s="19" t="s">
        <v>99</v>
      </c>
    </row>
    <row r="17" spans="1:4" ht="14.4" x14ac:dyDescent="0.3">
      <c r="A17" s="19">
        <v>16</v>
      </c>
      <c r="B17" s="19">
        <v>1</v>
      </c>
      <c r="C17" s="19">
        <v>82</v>
      </c>
      <c r="D17" s="19" t="s">
        <v>100</v>
      </c>
    </row>
    <row r="18" spans="1:4" ht="14.4" x14ac:dyDescent="0.3">
      <c r="A18" s="19">
        <v>17</v>
      </c>
      <c r="B18" s="19">
        <v>0</v>
      </c>
      <c r="C18" s="19">
        <v>83</v>
      </c>
      <c r="D18" s="19" t="s">
        <v>101</v>
      </c>
    </row>
    <row r="19" spans="1:4" ht="14.4" x14ac:dyDescent="0.3">
      <c r="A19" s="19">
        <v>18</v>
      </c>
      <c r="B19" s="19">
        <v>1</v>
      </c>
      <c r="C19" s="19">
        <v>86</v>
      </c>
      <c r="D19" s="19" t="s">
        <v>102</v>
      </c>
    </row>
    <row r="20" spans="1:4" ht="14.4" x14ac:dyDescent="0.3">
      <c r="A20" s="19">
        <v>19</v>
      </c>
      <c r="B20" s="19">
        <v>1</v>
      </c>
      <c r="C20" s="19">
        <v>97</v>
      </c>
      <c r="D20" s="19" t="s">
        <v>103</v>
      </c>
    </row>
    <row r="21" spans="1:4" ht="15.75" customHeight="1" x14ac:dyDescent="0.3">
      <c r="A21" s="19">
        <v>20</v>
      </c>
      <c r="B21" s="19">
        <v>1</v>
      </c>
      <c r="C21" s="19">
        <v>87</v>
      </c>
      <c r="D21" s="19" t="s">
        <v>104</v>
      </c>
    </row>
    <row r="22" spans="1:4" ht="15.75" customHeight="1" x14ac:dyDescent="0.3">
      <c r="A22" s="19">
        <v>21</v>
      </c>
      <c r="B22" s="19">
        <v>0</v>
      </c>
      <c r="C22" s="19">
        <v>68</v>
      </c>
      <c r="D22" s="19" t="s">
        <v>105</v>
      </c>
    </row>
    <row r="23" spans="1:4" ht="15.75" customHeight="1" x14ac:dyDescent="0.3">
      <c r="A23" s="19">
        <v>22</v>
      </c>
      <c r="B23" s="19">
        <v>1</v>
      </c>
      <c r="C23" s="19">
        <v>82</v>
      </c>
      <c r="D23" s="19" t="s">
        <v>106</v>
      </c>
    </row>
    <row r="24" spans="1:4" ht="15.75" customHeight="1" x14ac:dyDescent="0.3">
      <c r="A24" s="19">
        <v>23</v>
      </c>
      <c r="B24" s="19">
        <v>1</v>
      </c>
      <c r="C24" s="19">
        <v>78</v>
      </c>
      <c r="D24" s="19" t="s">
        <v>107</v>
      </c>
    </row>
    <row r="25" spans="1:4" ht="15.75" customHeight="1" x14ac:dyDescent="0.3">
      <c r="A25" s="19">
        <v>24</v>
      </c>
      <c r="B25" s="19">
        <v>1</v>
      </c>
      <c r="C25" s="19">
        <v>82</v>
      </c>
      <c r="D25" s="19" t="s">
        <v>108</v>
      </c>
    </row>
    <row r="26" spans="1:4" ht="15.75" customHeight="1" x14ac:dyDescent="0.3">
      <c r="A26" s="19">
        <v>25</v>
      </c>
      <c r="B26" s="19">
        <v>1</v>
      </c>
      <c r="C26" s="19">
        <v>97</v>
      </c>
      <c r="D26" s="19" t="s">
        <v>109</v>
      </c>
    </row>
    <row r="27" spans="1:4" ht="15.75" customHeight="1" x14ac:dyDescent="0.3">
      <c r="A27" s="19">
        <v>26</v>
      </c>
      <c r="B27" s="19">
        <v>1</v>
      </c>
      <c r="C27" s="19">
        <v>97</v>
      </c>
      <c r="D27" s="19" t="s">
        <v>110</v>
      </c>
    </row>
    <row r="28" spans="1:4" ht="15.75" customHeight="1" x14ac:dyDescent="0.3">
      <c r="A28" s="19">
        <v>27</v>
      </c>
      <c r="B28" s="19">
        <v>1</v>
      </c>
      <c r="C28" s="19">
        <v>95</v>
      </c>
      <c r="D28" s="19" t="s">
        <v>111</v>
      </c>
    </row>
    <row r="29" spans="1:4" ht="15.75" customHeight="1" x14ac:dyDescent="0.3">
      <c r="A29" s="19">
        <v>28</v>
      </c>
      <c r="B29" s="19">
        <v>1</v>
      </c>
      <c r="C29" s="19">
        <v>81</v>
      </c>
      <c r="D29" s="19" t="s">
        <v>112</v>
      </c>
    </row>
    <row r="30" spans="1:4" ht="15.75" customHeight="1" x14ac:dyDescent="0.3">
      <c r="A30" s="19">
        <v>29</v>
      </c>
      <c r="B30" s="19">
        <v>1</v>
      </c>
      <c r="C30" s="19">
        <v>72</v>
      </c>
      <c r="D30" s="19" t="s">
        <v>113</v>
      </c>
    </row>
    <row r="31" spans="1:4" ht="15.75" customHeight="1" x14ac:dyDescent="0.3">
      <c r="A31" s="19">
        <v>30</v>
      </c>
      <c r="B31" s="19">
        <v>0</v>
      </c>
      <c r="C31" s="19">
        <v>77</v>
      </c>
      <c r="D31" s="19" t="s">
        <v>114</v>
      </c>
    </row>
    <row r="32" spans="1:4" ht="15.75" customHeight="1" x14ac:dyDescent="0.3">
      <c r="A32" s="19">
        <v>31</v>
      </c>
      <c r="B32" s="19">
        <v>1</v>
      </c>
      <c r="C32" s="19">
        <v>96</v>
      </c>
      <c r="D32" s="19" t="s">
        <v>115</v>
      </c>
    </row>
    <row r="33" spans="1:4" ht="15.75" customHeight="1" x14ac:dyDescent="0.3">
      <c r="A33" s="19">
        <v>32</v>
      </c>
      <c r="B33" s="19">
        <v>0</v>
      </c>
      <c r="C33" s="19">
        <v>88</v>
      </c>
      <c r="D33" s="19" t="s">
        <v>116</v>
      </c>
    </row>
    <row r="34" spans="1:4" ht="15.75" customHeight="1" x14ac:dyDescent="0.3">
      <c r="A34" s="19">
        <v>33</v>
      </c>
      <c r="B34" s="19">
        <v>0</v>
      </c>
      <c r="C34" s="19">
        <v>93</v>
      </c>
      <c r="D34" s="19" t="s">
        <v>117</v>
      </c>
    </row>
    <row r="35" spans="1:4" ht="15.75" customHeight="1" x14ac:dyDescent="0.3">
      <c r="A35" s="19">
        <v>34</v>
      </c>
      <c r="B35" s="19">
        <v>0</v>
      </c>
      <c r="C35" s="19">
        <v>78</v>
      </c>
      <c r="D35" s="19" t="s">
        <v>118</v>
      </c>
    </row>
    <row r="36" spans="1:4" ht="15.75" customHeight="1" x14ac:dyDescent="0.3">
      <c r="A36" s="19">
        <v>35</v>
      </c>
      <c r="B36" s="19">
        <v>0</v>
      </c>
      <c r="C36" s="19">
        <v>90</v>
      </c>
      <c r="D36" s="19" t="s">
        <v>119</v>
      </c>
    </row>
    <row r="37" spans="1:4" ht="15.75" customHeight="1" x14ac:dyDescent="0.3">
      <c r="A37" s="19">
        <v>36</v>
      </c>
      <c r="B37" s="19">
        <v>0</v>
      </c>
      <c r="C37" s="19">
        <v>82</v>
      </c>
      <c r="D37" s="19" t="s">
        <v>120</v>
      </c>
    </row>
    <row r="38" spans="1:4" ht="15.75" customHeight="1" x14ac:dyDescent="0.3">
      <c r="A38" s="19">
        <v>37</v>
      </c>
      <c r="B38" s="19">
        <v>1</v>
      </c>
      <c r="C38" s="19">
        <v>96</v>
      </c>
      <c r="D38" s="19" t="s">
        <v>121</v>
      </c>
    </row>
    <row r="39" spans="1:4" ht="15.75" customHeight="1" x14ac:dyDescent="0.3">
      <c r="A39" s="19">
        <v>38</v>
      </c>
      <c r="B39" s="19">
        <v>0</v>
      </c>
      <c r="C39" s="19">
        <v>93</v>
      </c>
      <c r="D39" s="19" t="s">
        <v>122</v>
      </c>
    </row>
    <row r="40" spans="1:4" ht="15.75" customHeight="1" x14ac:dyDescent="0.3">
      <c r="A40" s="19">
        <v>39</v>
      </c>
      <c r="B40" s="19">
        <v>1</v>
      </c>
      <c r="C40" s="19">
        <v>98</v>
      </c>
      <c r="D40" s="19" t="s">
        <v>123</v>
      </c>
    </row>
    <row r="41" spans="1:4" ht="15.75" customHeight="1" x14ac:dyDescent="0.3">
      <c r="A41" s="19">
        <v>40</v>
      </c>
      <c r="B41" s="19">
        <v>1</v>
      </c>
      <c r="C41" s="19">
        <v>93</v>
      </c>
      <c r="D41" s="19" t="s">
        <v>124</v>
      </c>
    </row>
    <row r="42" spans="1:4" ht="15.75" customHeight="1" x14ac:dyDescent="0.3">
      <c r="A42" s="19">
        <v>41</v>
      </c>
      <c r="B42" s="19">
        <v>1</v>
      </c>
      <c r="C42" s="19">
        <v>82</v>
      </c>
      <c r="D42" s="19" t="s">
        <v>125</v>
      </c>
    </row>
    <row r="43" spans="1:4" ht="15.75" customHeight="1" x14ac:dyDescent="0.3">
      <c r="A43" s="19">
        <v>42</v>
      </c>
      <c r="B43" s="19">
        <v>0</v>
      </c>
      <c r="C43" s="19">
        <v>82</v>
      </c>
      <c r="D43" s="19" t="s">
        <v>126</v>
      </c>
    </row>
    <row r="44" spans="1:4" ht="15.75" customHeight="1" x14ac:dyDescent="0.3">
      <c r="A44" s="19">
        <v>43</v>
      </c>
      <c r="B44" s="19">
        <v>0</v>
      </c>
      <c r="C44" s="19">
        <v>86</v>
      </c>
      <c r="D44" s="19" t="s">
        <v>127</v>
      </c>
    </row>
    <row r="45" spans="1:4" ht="15.75" customHeight="1" x14ac:dyDescent="0.3">
      <c r="A45" s="19">
        <v>44</v>
      </c>
      <c r="B45" s="19">
        <v>0</v>
      </c>
      <c r="C45" s="19">
        <v>78</v>
      </c>
      <c r="D45" s="19" t="s">
        <v>128</v>
      </c>
    </row>
    <row r="46" spans="1:4" ht="15.75" customHeight="1" x14ac:dyDescent="0.3">
      <c r="A46" s="19">
        <v>45</v>
      </c>
      <c r="B46" s="19">
        <v>1</v>
      </c>
      <c r="C46" s="19">
        <v>72</v>
      </c>
      <c r="D46" s="19" t="s">
        <v>129</v>
      </c>
    </row>
    <row r="47" spans="1:4" ht="15.75" customHeight="1" x14ac:dyDescent="0.3">
      <c r="A47" s="19">
        <v>46</v>
      </c>
      <c r="B47" s="19">
        <v>0</v>
      </c>
      <c r="C47" s="19">
        <v>82</v>
      </c>
      <c r="D47" s="19" t="s">
        <v>130</v>
      </c>
    </row>
    <row r="48" spans="1:4" ht="15.75" customHeight="1" x14ac:dyDescent="0.3">
      <c r="A48" s="19">
        <v>47</v>
      </c>
      <c r="B48" s="19">
        <v>1</v>
      </c>
      <c r="C48" s="19">
        <v>97</v>
      </c>
      <c r="D48" s="19" t="s">
        <v>131</v>
      </c>
    </row>
    <row r="49" spans="1:4" ht="15.75" customHeight="1" x14ac:dyDescent="0.3">
      <c r="A49" s="19">
        <v>48</v>
      </c>
      <c r="B49" s="19">
        <v>0</v>
      </c>
      <c r="C49" s="19">
        <v>72</v>
      </c>
      <c r="D49" s="19" t="s">
        <v>132</v>
      </c>
    </row>
    <row r="50" spans="1:4" ht="15.75" customHeight="1" x14ac:dyDescent="0.3">
      <c r="A50" s="19">
        <v>49</v>
      </c>
      <c r="B50" s="19">
        <v>1</v>
      </c>
      <c r="C50" s="19">
        <v>98</v>
      </c>
      <c r="D50" s="19" t="s">
        <v>133</v>
      </c>
    </row>
    <row r="51" spans="1:4" ht="15.75" customHeight="1" x14ac:dyDescent="0.3">
      <c r="A51" s="19">
        <v>50</v>
      </c>
      <c r="B51" s="19">
        <v>1</v>
      </c>
      <c r="C51" s="19">
        <v>78</v>
      </c>
      <c r="D51" s="19" t="s">
        <v>134</v>
      </c>
    </row>
    <row r="52" spans="1:4" ht="15.75" customHeight="1" x14ac:dyDescent="0.3">
      <c r="A52" s="19">
        <v>51</v>
      </c>
      <c r="B52" s="19">
        <v>1</v>
      </c>
      <c r="C52" s="19">
        <v>93</v>
      </c>
      <c r="D52" s="19" t="s">
        <v>135</v>
      </c>
    </row>
    <row r="53" spans="1:4" ht="15.75" customHeight="1" x14ac:dyDescent="0.3">
      <c r="A53" s="19">
        <v>52</v>
      </c>
      <c r="B53" s="19">
        <v>0</v>
      </c>
      <c r="C53" s="19">
        <v>93</v>
      </c>
      <c r="D53" s="19" t="s">
        <v>136</v>
      </c>
    </row>
    <row r="54" spans="1:4" ht="15.75" customHeight="1" x14ac:dyDescent="0.3">
      <c r="A54" s="19">
        <v>53</v>
      </c>
      <c r="B54" s="19">
        <v>0</v>
      </c>
      <c r="C54" s="19">
        <v>93</v>
      </c>
      <c r="D54" s="19" t="s">
        <v>137</v>
      </c>
    </row>
    <row r="55" spans="1:4" ht="15.75" customHeight="1" x14ac:dyDescent="0.3">
      <c r="A55" s="19">
        <v>54</v>
      </c>
      <c r="B55" s="19">
        <v>0</v>
      </c>
      <c r="C55" s="19">
        <v>77</v>
      </c>
      <c r="D55" s="19" t="s">
        <v>138</v>
      </c>
    </row>
    <row r="56" spans="1:4" ht="15.75" customHeight="1" x14ac:dyDescent="0.3">
      <c r="A56" s="19">
        <v>55</v>
      </c>
      <c r="B56" s="19">
        <v>1</v>
      </c>
      <c r="C56" s="19">
        <v>99</v>
      </c>
      <c r="D56" s="19" t="s">
        <v>139</v>
      </c>
    </row>
    <row r="57" spans="1:4" ht="15.75" customHeight="1" x14ac:dyDescent="0.3">
      <c r="A57" s="19">
        <v>56</v>
      </c>
      <c r="B57" s="19">
        <v>0</v>
      </c>
      <c r="C57" s="19">
        <v>96</v>
      </c>
      <c r="D57" s="19" t="s">
        <v>140</v>
      </c>
    </row>
    <row r="58" spans="1:4" ht="15.75" customHeight="1" x14ac:dyDescent="0.3">
      <c r="A58" s="19">
        <v>57</v>
      </c>
      <c r="B58" s="19">
        <v>1</v>
      </c>
      <c r="C58" s="19">
        <v>93</v>
      </c>
      <c r="D58" s="19" t="s">
        <v>141</v>
      </c>
    </row>
    <row r="59" spans="1:4" ht="15.75" customHeight="1" x14ac:dyDescent="0.3">
      <c r="A59" s="19">
        <v>58</v>
      </c>
      <c r="B59" s="19">
        <v>1</v>
      </c>
      <c r="C59" s="19">
        <v>97</v>
      </c>
      <c r="D59" s="19" t="s">
        <v>142</v>
      </c>
    </row>
    <row r="60" spans="1:4" ht="15.75" customHeight="1" x14ac:dyDescent="0.3">
      <c r="A60" s="19">
        <v>59</v>
      </c>
      <c r="B60" s="19">
        <v>1</v>
      </c>
      <c r="C60" s="19">
        <v>78</v>
      </c>
      <c r="D60" s="19" t="s">
        <v>143</v>
      </c>
    </row>
    <row r="61" spans="1:4" ht="15.75" customHeight="1" x14ac:dyDescent="0.3">
      <c r="A61" s="19">
        <v>60</v>
      </c>
      <c r="B61" s="19">
        <v>1</v>
      </c>
      <c r="C61" s="19">
        <v>84</v>
      </c>
      <c r="D61" s="19" t="s">
        <v>144</v>
      </c>
    </row>
    <row r="62" spans="1:4" ht="15.75" customHeight="1" x14ac:dyDescent="0.3">
      <c r="A62" s="19">
        <v>61</v>
      </c>
      <c r="B62" s="19">
        <v>1</v>
      </c>
      <c r="C62" s="19">
        <v>86</v>
      </c>
      <c r="D62" s="19" t="s">
        <v>145</v>
      </c>
    </row>
    <row r="63" spans="1:4" ht="15.75" customHeight="1" x14ac:dyDescent="0.3">
      <c r="A63" s="19">
        <v>62</v>
      </c>
      <c r="B63" s="19">
        <v>0</v>
      </c>
      <c r="C63" s="19">
        <v>90</v>
      </c>
      <c r="D63" s="19" t="s">
        <v>146</v>
      </c>
    </row>
    <row r="64" spans="1:4" ht="15.75" customHeight="1" x14ac:dyDescent="0.3">
      <c r="A64" s="19">
        <v>63</v>
      </c>
      <c r="B64" s="19">
        <v>1</v>
      </c>
      <c r="C64" s="19">
        <v>72</v>
      </c>
      <c r="D64" s="19" t="s">
        <v>147</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96</v>
      </c>
      <c r="D2" s="19" t="s">
        <v>148</v>
      </c>
    </row>
    <row r="3" spans="1:4" ht="14.4" x14ac:dyDescent="0.3">
      <c r="A3" s="19">
        <v>2</v>
      </c>
      <c r="B3" s="19">
        <v>0</v>
      </c>
      <c r="C3" s="19">
        <v>76</v>
      </c>
      <c r="D3" s="19" t="s">
        <v>149</v>
      </c>
    </row>
    <row r="4" spans="1:4" ht="14.4" x14ac:dyDescent="0.3">
      <c r="A4" s="19">
        <v>3</v>
      </c>
      <c r="B4" s="19">
        <v>1</v>
      </c>
      <c r="C4" s="19">
        <v>99</v>
      </c>
      <c r="D4" s="19" t="s">
        <v>150</v>
      </c>
    </row>
    <row r="5" spans="1:4" ht="14.4" x14ac:dyDescent="0.3">
      <c r="A5" s="19">
        <v>4</v>
      </c>
      <c r="B5" s="19">
        <v>0</v>
      </c>
      <c r="C5" s="19">
        <v>87</v>
      </c>
      <c r="D5" s="19" t="s">
        <v>151</v>
      </c>
    </row>
    <row r="6" spans="1:4" ht="14.4" x14ac:dyDescent="0.3">
      <c r="A6" s="19">
        <v>5</v>
      </c>
      <c r="B6" s="19">
        <v>1</v>
      </c>
      <c r="C6" s="19">
        <v>92</v>
      </c>
      <c r="D6" s="19" t="s">
        <v>152</v>
      </c>
    </row>
    <row r="7" spans="1:4" ht="14.4" x14ac:dyDescent="0.3">
      <c r="A7" s="19">
        <v>6</v>
      </c>
      <c r="B7" s="19">
        <v>1</v>
      </c>
      <c r="C7" s="19">
        <v>96</v>
      </c>
      <c r="D7" s="19" t="s">
        <v>153</v>
      </c>
    </row>
    <row r="8" spans="1:4" ht="14.4" x14ac:dyDescent="0.3">
      <c r="A8" s="19">
        <v>7</v>
      </c>
      <c r="B8" s="19">
        <v>0</v>
      </c>
      <c r="C8" s="19">
        <v>84</v>
      </c>
      <c r="D8" s="19" t="s">
        <v>154</v>
      </c>
    </row>
    <row r="9" spans="1:4" ht="14.4" x14ac:dyDescent="0.3">
      <c r="A9" s="19">
        <v>8</v>
      </c>
      <c r="B9" s="19">
        <v>0</v>
      </c>
      <c r="C9" s="19">
        <v>72</v>
      </c>
      <c r="D9" s="19" t="s">
        <v>155</v>
      </c>
    </row>
    <row r="10" spans="1:4" ht="14.4" x14ac:dyDescent="0.3">
      <c r="A10" s="19">
        <v>9</v>
      </c>
      <c r="B10" s="19">
        <v>1</v>
      </c>
      <c r="C10" s="19">
        <v>88</v>
      </c>
      <c r="D10" s="19" t="s">
        <v>156</v>
      </c>
    </row>
    <row r="11" spans="1:4" ht="14.4" x14ac:dyDescent="0.3">
      <c r="A11" s="19">
        <v>10</v>
      </c>
      <c r="B11" s="19">
        <v>1</v>
      </c>
      <c r="C11" s="19">
        <v>72</v>
      </c>
      <c r="D11" s="19" t="s">
        <v>157</v>
      </c>
    </row>
    <row r="12" spans="1:4" ht="14.4" x14ac:dyDescent="0.3">
      <c r="A12" s="19">
        <v>11</v>
      </c>
      <c r="B12" s="19">
        <v>0</v>
      </c>
      <c r="C12" s="19">
        <v>68</v>
      </c>
      <c r="D12" s="19" t="s">
        <v>158</v>
      </c>
    </row>
    <row r="13" spans="1:4" ht="14.4" x14ac:dyDescent="0.3">
      <c r="A13" s="19">
        <v>12</v>
      </c>
      <c r="B13" s="19">
        <v>0</v>
      </c>
      <c r="C13" s="19">
        <v>72</v>
      </c>
      <c r="D13" s="19" t="s">
        <v>159</v>
      </c>
    </row>
    <row r="14" spans="1:4" ht="14.4" x14ac:dyDescent="0.3">
      <c r="A14" s="19">
        <v>13</v>
      </c>
      <c r="B14" s="19">
        <v>1</v>
      </c>
      <c r="C14" s="19">
        <v>97</v>
      </c>
      <c r="D14" s="19" t="s">
        <v>160</v>
      </c>
    </row>
    <row r="15" spans="1:4" ht="14.4" x14ac:dyDescent="0.3">
      <c r="A15" s="19">
        <v>14</v>
      </c>
      <c r="B15" s="19">
        <v>0</v>
      </c>
      <c r="C15" s="19">
        <v>72</v>
      </c>
      <c r="D15" s="19" t="s">
        <v>161</v>
      </c>
    </row>
    <row r="16" spans="1:4" ht="14.4" x14ac:dyDescent="0.3">
      <c r="A16" s="19">
        <v>15</v>
      </c>
      <c r="B16" s="19">
        <v>0</v>
      </c>
      <c r="C16" s="19">
        <v>78</v>
      </c>
      <c r="D16" s="19" t="s">
        <v>162</v>
      </c>
    </row>
    <row r="17" spans="1:4" ht="14.4" x14ac:dyDescent="0.3">
      <c r="A17" s="19">
        <v>16</v>
      </c>
      <c r="B17" s="19">
        <v>1</v>
      </c>
      <c r="C17" s="19">
        <v>82</v>
      </c>
      <c r="D17" s="19" t="s">
        <v>163</v>
      </c>
    </row>
    <row r="18" spans="1:4" ht="14.4" x14ac:dyDescent="0.3">
      <c r="A18" s="19">
        <v>17</v>
      </c>
      <c r="B18" s="19">
        <v>0</v>
      </c>
      <c r="C18" s="19">
        <v>86</v>
      </c>
      <c r="D18" s="19" t="s">
        <v>164</v>
      </c>
    </row>
    <row r="19" spans="1:4" ht="14.4" x14ac:dyDescent="0.3">
      <c r="A19" s="19">
        <v>18</v>
      </c>
      <c r="B19" s="19">
        <v>1</v>
      </c>
      <c r="C19" s="19">
        <v>86</v>
      </c>
      <c r="D19" s="19" t="s">
        <v>165</v>
      </c>
    </row>
    <row r="20" spans="1:4" ht="14.4" x14ac:dyDescent="0.3">
      <c r="A20" s="19">
        <v>19</v>
      </c>
      <c r="B20" s="19">
        <v>1</v>
      </c>
      <c r="C20" s="19">
        <v>97</v>
      </c>
      <c r="D20" s="19" t="s">
        <v>166</v>
      </c>
    </row>
    <row r="21" spans="1:4" ht="15.75" customHeight="1" x14ac:dyDescent="0.3">
      <c r="A21" s="19">
        <v>20</v>
      </c>
      <c r="B21" s="19">
        <v>1</v>
      </c>
      <c r="C21" s="19">
        <v>92</v>
      </c>
      <c r="D21" s="19" t="s">
        <v>167</v>
      </c>
    </row>
    <row r="22" spans="1:4" ht="15.75" customHeight="1" x14ac:dyDescent="0.3">
      <c r="A22" s="19">
        <v>21</v>
      </c>
      <c r="B22" s="19">
        <v>0</v>
      </c>
      <c r="C22" s="19">
        <v>62</v>
      </c>
      <c r="D22" s="19" t="s">
        <v>168</v>
      </c>
    </row>
    <row r="23" spans="1:4" ht="15.75" customHeight="1" x14ac:dyDescent="0.3">
      <c r="A23" s="19">
        <v>22</v>
      </c>
      <c r="B23" s="19">
        <v>1</v>
      </c>
      <c r="C23" s="19">
        <v>84</v>
      </c>
      <c r="D23" s="19" t="s">
        <v>169</v>
      </c>
    </row>
    <row r="24" spans="1:4" ht="15.75" customHeight="1" x14ac:dyDescent="0.3">
      <c r="A24" s="19">
        <v>23</v>
      </c>
      <c r="B24" s="19">
        <v>1</v>
      </c>
      <c r="C24" s="19">
        <v>82</v>
      </c>
      <c r="D24" s="19" t="s">
        <v>170</v>
      </c>
    </row>
    <row r="25" spans="1:4" ht="15.75" customHeight="1" x14ac:dyDescent="0.3">
      <c r="A25" s="19">
        <v>24</v>
      </c>
      <c r="B25" s="19">
        <v>1</v>
      </c>
      <c r="C25" s="19">
        <v>84</v>
      </c>
      <c r="D25" s="19" t="s">
        <v>171</v>
      </c>
    </row>
    <row r="26" spans="1:4" ht="15.75" customHeight="1" x14ac:dyDescent="0.3">
      <c r="A26" s="19">
        <v>25</v>
      </c>
      <c r="B26" s="19">
        <v>1</v>
      </c>
      <c r="C26" s="19">
        <v>98</v>
      </c>
      <c r="D26" s="19" t="s">
        <v>172</v>
      </c>
    </row>
    <row r="27" spans="1:4" ht="15.75" customHeight="1" x14ac:dyDescent="0.3">
      <c r="A27" s="19">
        <v>26</v>
      </c>
      <c r="B27" s="19">
        <v>1</v>
      </c>
      <c r="C27" s="19">
        <v>97</v>
      </c>
      <c r="D27" s="19" t="s">
        <v>173</v>
      </c>
    </row>
    <row r="28" spans="1:4" ht="15.75" customHeight="1" x14ac:dyDescent="0.3">
      <c r="A28" s="19">
        <v>27</v>
      </c>
      <c r="B28" s="19">
        <v>1</v>
      </c>
      <c r="C28" s="19">
        <v>95</v>
      </c>
      <c r="D28" s="19" t="s">
        <v>174</v>
      </c>
    </row>
    <row r="29" spans="1:4" ht="15.75" customHeight="1" x14ac:dyDescent="0.3">
      <c r="A29" s="19">
        <v>28</v>
      </c>
      <c r="B29" s="19">
        <v>1</v>
      </c>
      <c r="C29" s="19">
        <v>83</v>
      </c>
      <c r="D29" s="19" t="s">
        <v>175</v>
      </c>
    </row>
    <row r="30" spans="1:4" ht="15.75" customHeight="1" x14ac:dyDescent="0.3">
      <c r="A30" s="19">
        <v>29</v>
      </c>
      <c r="B30" s="19">
        <v>1</v>
      </c>
      <c r="C30" s="19">
        <v>76</v>
      </c>
      <c r="D30" s="19" t="s">
        <v>176</v>
      </c>
    </row>
    <row r="31" spans="1:4" ht="15.75" customHeight="1" x14ac:dyDescent="0.3">
      <c r="A31" s="19">
        <v>30</v>
      </c>
      <c r="B31" s="19">
        <v>0</v>
      </c>
      <c r="C31" s="19">
        <v>84</v>
      </c>
      <c r="D31" s="19" t="s">
        <v>177</v>
      </c>
    </row>
    <row r="32" spans="1:4" ht="15.75" customHeight="1" x14ac:dyDescent="0.3">
      <c r="A32" s="19">
        <v>31</v>
      </c>
      <c r="B32" s="19">
        <v>1</v>
      </c>
      <c r="C32" s="19">
        <v>97</v>
      </c>
      <c r="D32" s="19" t="s">
        <v>178</v>
      </c>
    </row>
    <row r="33" spans="1:4" ht="15.75" customHeight="1" x14ac:dyDescent="0.3">
      <c r="A33" s="19">
        <v>32</v>
      </c>
      <c r="B33" s="19">
        <v>0</v>
      </c>
      <c r="C33" s="19">
        <v>92</v>
      </c>
      <c r="D33" s="19" t="s">
        <v>179</v>
      </c>
    </row>
    <row r="34" spans="1:4" ht="15.75" customHeight="1" x14ac:dyDescent="0.3">
      <c r="A34" s="19">
        <v>33</v>
      </c>
      <c r="B34" s="19">
        <v>0</v>
      </c>
      <c r="C34" s="19">
        <v>93</v>
      </c>
      <c r="D34" s="19" t="s">
        <v>180</v>
      </c>
    </row>
    <row r="35" spans="1:4" ht="15.75" customHeight="1" x14ac:dyDescent="0.3">
      <c r="A35" s="19">
        <v>34</v>
      </c>
      <c r="B35" s="19">
        <v>0</v>
      </c>
      <c r="C35" s="19">
        <v>78</v>
      </c>
      <c r="D35" s="19" t="s">
        <v>181</v>
      </c>
    </row>
    <row r="36" spans="1:4" ht="15.75" customHeight="1" x14ac:dyDescent="0.3">
      <c r="A36" s="19">
        <v>35</v>
      </c>
      <c r="B36" s="19">
        <v>0</v>
      </c>
      <c r="C36" s="19">
        <v>93</v>
      </c>
      <c r="D36" s="19" t="s">
        <v>182</v>
      </c>
    </row>
    <row r="37" spans="1:4" ht="15.75" customHeight="1" x14ac:dyDescent="0.3">
      <c r="A37" s="19">
        <v>36</v>
      </c>
      <c r="B37" s="19">
        <v>0</v>
      </c>
      <c r="C37" s="19">
        <v>86</v>
      </c>
      <c r="D37" s="19" t="s">
        <v>183</v>
      </c>
    </row>
    <row r="38" spans="1:4" ht="15.75" customHeight="1" x14ac:dyDescent="0.3">
      <c r="A38" s="19">
        <v>37</v>
      </c>
      <c r="B38" s="19">
        <v>1</v>
      </c>
      <c r="C38" s="19">
        <v>96</v>
      </c>
      <c r="D38" s="19" t="s">
        <v>184</v>
      </c>
    </row>
    <row r="39" spans="1:4" ht="15.75" customHeight="1" x14ac:dyDescent="0.3">
      <c r="A39" s="19">
        <v>38</v>
      </c>
      <c r="B39" s="19">
        <v>0</v>
      </c>
      <c r="C39" s="19">
        <v>86</v>
      </c>
      <c r="D39" s="19" t="s">
        <v>185</v>
      </c>
    </row>
    <row r="40" spans="1:4" ht="15.75" customHeight="1" x14ac:dyDescent="0.3">
      <c r="A40" s="19">
        <v>39</v>
      </c>
      <c r="B40" s="19">
        <v>1</v>
      </c>
      <c r="C40" s="19">
        <v>98</v>
      </c>
      <c r="D40" s="19" t="s">
        <v>186</v>
      </c>
    </row>
    <row r="41" spans="1:4" ht="15.75" customHeight="1" x14ac:dyDescent="0.3">
      <c r="A41" s="19">
        <v>40</v>
      </c>
      <c r="B41" s="19">
        <v>1</v>
      </c>
      <c r="C41" s="19">
        <v>93</v>
      </c>
      <c r="D41" s="19" t="s">
        <v>187</v>
      </c>
    </row>
    <row r="42" spans="1:4" ht="15.75" customHeight="1" x14ac:dyDescent="0.3">
      <c r="A42" s="19">
        <v>41</v>
      </c>
      <c r="B42" s="19">
        <v>1</v>
      </c>
      <c r="C42" s="19">
        <v>83</v>
      </c>
      <c r="D42" s="19" t="s">
        <v>188</v>
      </c>
    </row>
    <row r="43" spans="1:4" ht="15.75" customHeight="1" x14ac:dyDescent="0.3">
      <c r="A43" s="19">
        <v>42</v>
      </c>
      <c r="B43" s="19">
        <v>0</v>
      </c>
      <c r="C43" s="19">
        <v>72</v>
      </c>
      <c r="D43" s="19" t="s">
        <v>189</v>
      </c>
    </row>
    <row r="44" spans="1:4" ht="15.75" customHeight="1" x14ac:dyDescent="0.3">
      <c r="A44" s="19">
        <v>43</v>
      </c>
      <c r="B44" s="19">
        <v>0</v>
      </c>
      <c r="C44" s="19">
        <v>86</v>
      </c>
      <c r="D44" s="19" t="s">
        <v>190</v>
      </c>
    </row>
    <row r="45" spans="1:4" ht="15.75" customHeight="1" x14ac:dyDescent="0.3">
      <c r="A45" s="19">
        <v>44</v>
      </c>
      <c r="B45" s="19">
        <v>0</v>
      </c>
      <c r="C45" s="19">
        <v>78</v>
      </c>
      <c r="D45" s="19" t="s">
        <v>191</v>
      </c>
    </row>
    <row r="46" spans="1:4" ht="15.75" customHeight="1" x14ac:dyDescent="0.3">
      <c r="A46" s="19">
        <v>45</v>
      </c>
      <c r="B46" s="19">
        <v>0</v>
      </c>
      <c r="C46" s="19">
        <v>62</v>
      </c>
      <c r="D46" s="19" t="s">
        <v>192</v>
      </c>
    </row>
    <row r="47" spans="1:4" ht="15.75" customHeight="1" x14ac:dyDescent="0.3">
      <c r="A47" s="19">
        <v>46</v>
      </c>
      <c r="B47" s="19">
        <v>0</v>
      </c>
      <c r="C47" s="19">
        <v>86</v>
      </c>
      <c r="D47" s="19" t="s">
        <v>193</v>
      </c>
    </row>
    <row r="48" spans="1:4" ht="15.75" customHeight="1" x14ac:dyDescent="0.3">
      <c r="A48" s="19">
        <v>47</v>
      </c>
      <c r="B48" s="19">
        <v>1</v>
      </c>
      <c r="C48" s="19">
        <v>97</v>
      </c>
      <c r="D48" s="19" t="s">
        <v>194</v>
      </c>
    </row>
    <row r="49" spans="1:4" ht="15.75" customHeight="1" x14ac:dyDescent="0.3">
      <c r="A49" s="19">
        <v>48</v>
      </c>
      <c r="B49" s="19">
        <v>0</v>
      </c>
      <c r="C49" s="19">
        <v>78</v>
      </c>
      <c r="D49" s="19" t="s">
        <v>195</v>
      </c>
    </row>
    <row r="50" spans="1:4" ht="15.75" customHeight="1" x14ac:dyDescent="0.3">
      <c r="A50" s="19">
        <v>49</v>
      </c>
      <c r="B50" s="19">
        <v>1</v>
      </c>
      <c r="C50" s="19">
        <v>97</v>
      </c>
      <c r="D50" s="19" t="s">
        <v>196</v>
      </c>
    </row>
    <row r="51" spans="1:4" ht="15.75" customHeight="1" x14ac:dyDescent="0.3">
      <c r="A51" s="19">
        <v>50</v>
      </c>
      <c r="B51" s="19">
        <v>1</v>
      </c>
      <c r="C51" s="19">
        <v>78</v>
      </c>
      <c r="D51" s="19" t="s">
        <v>197</v>
      </c>
    </row>
    <row r="52" spans="1:4" ht="15.75" customHeight="1" x14ac:dyDescent="0.3">
      <c r="A52" s="19">
        <v>51</v>
      </c>
      <c r="B52" s="19">
        <v>1</v>
      </c>
      <c r="C52" s="19">
        <v>93</v>
      </c>
      <c r="D52" s="19" t="s">
        <v>198</v>
      </c>
    </row>
    <row r="53" spans="1:4" ht="15.75" customHeight="1" x14ac:dyDescent="0.3">
      <c r="A53" s="19">
        <v>52</v>
      </c>
      <c r="B53" s="19">
        <v>0</v>
      </c>
      <c r="C53" s="19">
        <v>88</v>
      </c>
      <c r="D53" s="19" t="s">
        <v>199</v>
      </c>
    </row>
    <row r="54" spans="1:4" ht="15.75" customHeight="1" x14ac:dyDescent="0.3">
      <c r="A54" s="19">
        <v>53</v>
      </c>
      <c r="B54" s="19">
        <v>0</v>
      </c>
      <c r="C54" s="19">
        <v>92</v>
      </c>
      <c r="D54" s="19" t="s">
        <v>200</v>
      </c>
    </row>
    <row r="55" spans="1:4" ht="15.75" customHeight="1" x14ac:dyDescent="0.3">
      <c r="A55" s="19">
        <v>54</v>
      </c>
      <c r="B55" s="19">
        <v>0</v>
      </c>
      <c r="C55" s="19">
        <v>74</v>
      </c>
      <c r="D55" s="19" t="s">
        <v>201</v>
      </c>
    </row>
    <row r="56" spans="1:4" ht="15.75" customHeight="1" x14ac:dyDescent="0.3">
      <c r="A56" s="19">
        <v>55</v>
      </c>
      <c r="B56" s="19">
        <v>1</v>
      </c>
      <c r="C56" s="19">
        <v>99</v>
      </c>
      <c r="D56" s="19" t="s">
        <v>202</v>
      </c>
    </row>
    <row r="57" spans="1:4" ht="15.75" customHeight="1" x14ac:dyDescent="0.3">
      <c r="A57" s="19">
        <v>56</v>
      </c>
      <c r="B57" s="19">
        <v>0</v>
      </c>
      <c r="C57" s="19">
        <v>93</v>
      </c>
      <c r="D57" s="19" t="s">
        <v>203</v>
      </c>
    </row>
    <row r="58" spans="1:4" ht="15.75" customHeight="1" x14ac:dyDescent="0.3">
      <c r="A58" s="19">
        <v>57</v>
      </c>
      <c r="B58" s="19">
        <v>1</v>
      </c>
      <c r="C58" s="19">
        <v>93</v>
      </c>
      <c r="D58" s="19" t="s">
        <v>204</v>
      </c>
    </row>
    <row r="59" spans="1:4" ht="15.75" customHeight="1" x14ac:dyDescent="0.3">
      <c r="A59" s="19">
        <v>58</v>
      </c>
      <c r="B59" s="19">
        <v>1</v>
      </c>
      <c r="C59" s="19">
        <v>97</v>
      </c>
      <c r="D59" s="19" t="s">
        <v>205</v>
      </c>
    </row>
    <row r="60" spans="1:4" ht="15.75" customHeight="1" x14ac:dyDescent="0.3">
      <c r="A60" s="19">
        <v>59</v>
      </c>
      <c r="B60" s="19">
        <v>1</v>
      </c>
      <c r="C60" s="19">
        <v>84</v>
      </c>
      <c r="D60" s="19" t="s">
        <v>206</v>
      </c>
    </row>
    <row r="61" spans="1:4" ht="15.75" customHeight="1" x14ac:dyDescent="0.3">
      <c r="A61" s="19">
        <v>60</v>
      </c>
      <c r="B61" s="19">
        <v>1</v>
      </c>
      <c r="C61" s="19">
        <v>84</v>
      </c>
      <c r="D61" s="19" t="s">
        <v>207</v>
      </c>
    </row>
    <row r="62" spans="1:4" ht="15.75" customHeight="1" x14ac:dyDescent="0.3">
      <c r="A62" s="19">
        <v>61</v>
      </c>
      <c r="B62" s="19">
        <v>1</v>
      </c>
      <c r="C62" s="19">
        <v>78</v>
      </c>
      <c r="D62" s="19" t="s">
        <v>208</v>
      </c>
    </row>
    <row r="63" spans="1:4" ht="15.75" customHeight="1" x14ac:dyDescent="0.3">
      <c r="A63" s="19">
        <v>62</v>
      </c>
      <c r="B63" s="19">
        <v>0</v>
      </c>
      <c r="C63" s="19">
        <v>82</v>
      </c>
      <c r="D63" s="19" t="s">
        <v>209</v>
      </c>
    </row>
    <row r="64" spans="1:4" ht="15.75" customHeight="1" x14ac:dyDescent="0.3">
      <c r="A64" s="19">
        <v>63</v>
      </c>
      <c r="B64" s="19">
        <v>1</v>
      </c>
      <c r="C64" s="19">
        <v>76</v>
      </c>
      <c r="D64" s="19" t="s">
        <v>210</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97</v>
      </c>
      <c r="D2" s="19" t="s">
        <v>211</v>
      </c>
    </row>
    <row r="3" spans="1:4" ht="14.4" x14ac:dyDescent="0.3">
      <c r="A3" s="19">
        <v>2</v>
      </c>
      <c r="B3" s="19">
        <v>0</v>
      </c>
      <c r="C3" s="19">
        <v>83</v>
      </c>
      <c r="D3" s="19" t="s">
        <v>212</v>
      </c>
    </row>
    <row r="4" spans="1:4" ht="14.4" x14ac:dyDescent="0.3">
      <c r="A4" s="19">
        <v>3</v>
      </c>
      <c r="B4" s="19">
        <v>1</v>
      </c>
      <c r="C4" s="19">
        <v>99</v>
      </c>
      <c r="D4" s="19" t="s">
        <v>213</v>
      </c>
    </row>
    <row r="5" spans="1:4" ht="14.4" x14ac:dyDescent="0.3">
      <c r="A5" s="19">
        <v>4</v>
      </c>
      <c r="B5" s="19">
        <v>0</v>
      </c>
      <c r="C5" s="19">
        <v>84</v>
      </c>
      <c r="D5" s="19" t="s">
        <v>214</v>
      </c>
    </row>
    <row r="6" spans="1:4" ht="14.4" x14ac:dyDescent="0.3">
      <c r="A6" s="19">
        <v>5</v>
      </c>
      <c r="B6" s="19">
        <v>1</v>
      </c>
      <c r="C6" s="19">
        <v>96</v>
      </c>
      <c r="D6" s="19" t="s">
        <v>215</v>
      </c>
    </row>
    <row r="7" spans="1:4" ht="14.4" x14ac:dyDescent="0.3">
      <c r="A7" s="19">
        <v>6</v>
      </c>
      <c r="B7" s="19">
        <v>1</v>
      </c>
      <c r="C7" s="19">
        <v>97</v>
      </c>
      <c r="D7" s="19" t="s">
        <v>216</v>
      </c>
    </row>
    <row r="8" spans="1:4" ht="14.4" x14ac:dyDescent="0.3">
      <c r="A8" s="19">
        <v>7</v>
      </c>
      <c r="B8" s="19">
        <v>0</v>
      </c>
      <c r="C8" s="19">
        <v>86</v>
      </c>
      <c r="D8" s="19" t="s">
        <v>217</v>
      </c>
    </row>
    <row r="9" spans="1:4" ht="14.4" x14ac:dyDescent="0.3">
      <c r="A9" s="19">
        <v>8</v>
      </c>
      <c r="B9" s="19">
        <v>0</v>
      </c>
      <c r="C9" s="19">
        <v>78</v>
      </c>
      <c r="D9" s="19" t="s">
        <v>218</v>
      </c>
    </row>
    <row r="10" spans="1:4" ht="14.4" x14ac:dyDescent="0.3">
      <c r="A10" s="19">
        <v>9</v>
      </c>
      <c r="B10" s="19">
        <v>1</v>
      </c>
      <c r="C10" s="19">
        <v>83</v>
      </c>
      <c r="D10" s="19" t="s">
        <v>219</v>
      </c>
    </row>
    <row r="11" spans="1:4" ht="14.4" x14ac:dyDescent="0.3">
      <c r="A11" s="19">
        <v>10</v>
      </c>
      <c r="B11" s="19">
        <v>0</v>
      </c>
      <c r="C11" s="19">
        <v>62</v>
      </c>
      <c r="D11" s="19" t="s">
        <v>220</v>
      </c>
    </row>
    <row r="12" spans="1:4" ht="14.4" x14ac:dyDescent="0.3">
      <c r="A12" s="19">
        <v>11</v>
      </c>
      <c r="B12" s="19">
        <v>0</v>
      </c>
      <c r="C12" s="19">
        <v>62</v>
      </c>
      <c r="D12" s="19" t="s">
        <v>221</v>
      </c>
    </row>
    <row r="13" spans="1:4" ht="14.4" x14ac:dyDescent="0.3">
      <c r="A13" s="19">
        <v>12</v>
      </c>
      <c r="B13" s="19">
        <v>0</v>
      </c>
      <c r="C13" s="19">
        <v>84</v>
      </c>
      <c r="D13" s="19" t="s">
        <v>222</v>
      </c>
    </row>
    <row r="14" spans="1:4" ht="14.4" x14ac:dyDescent="0.3">
      <c r="A14" s="19">
        <v>13</v>
      </c>
      <c r="B14" s="19">
        <v>1</v>
      </c>
      <c r="C14" s="19">
        <v>97</v>
      </c>
      <c r="D14" s="19" t="s">
        <v>223</v>
      </c>
    </row>
    <row r="15" spans="1:4" ht="14.4" x14ac:dyDescent="0.3">
      <c r="A15" s="19">
        <v>14</v>
      </c>
      <c r="B15" s="19">
        <v>0</v>
      </c>
      <c r="C15" s="19">
        <v>63</v>
      </c>
      <c r="D15" s="19" t="s">
        <v>224</v>
      </c>
    </row>
    <row r="16" spans="1:4" ht="14.4" x14ac:dyDescent="0.3">
      <c r="A16" s="19">
        <v>15</v>
      </c>
      <c r="B16" s="19">
        <v>0</v>
      </c>
      <c r="C16" s="19">
        <v>67</v>
      </c>
      <c r="D16" s="19" t="s">
        <v>225</v>
      </c>
    </row>
    <row r="17" spans="1:4" ht="14.4" x14ac:dyDescent="0.3">
      <c r="A17" s="19">
        <v>16</v>
      </c>
      <c r="B17" s="19">
        <v>1</v>
      </c>
      <c r="C17" s="19">
        <v>82</v>
      </c>
      <c r="D17" s="19" t="s">
        <v>226</v>
      </c>
    </row>
    <row r="18" spans="1:4" ht="14.4" x14ac:dyDescent="0.3">
      <c r="A18" s="19">
        <v>17</v>
      </c>
      <c r="B18" s="19">
        <v>0</v>
      </c>
      <c r="C18" s="19">
        <v>87</v>
      </c>
      <c r="D18" s="19" t="s">
        <v>227</v>
      </c>
    </row>
    <row r="19" spans="1:4" ht="14.4" x14ac:dyDescent="0.3">
      <c r="A19" s="19">
        <v>18</v>
      </c>
      <c r="B19" s="19">
        <v>1</v>
      </c>
      <c r="C19" s="19">
        <v>86</v>
      </c>
      <c r="D19" s="19" t="s">
        <v>228</v>
      </c>
    </row>
    <row r="20" spans="1:4" ht="14.4" x14ac:dyDescent="0.3">
      <c r="A20" s="19">
        <v>19</v>
      </c>
      <c r="B20" s="19">
        <v>1</v>
      </c>
      <c r="C20" s="19">
        <v>97</v>
      </c>
      <c r="D20" s="19" t="s">
        <v>229</v>
      </c>
    </row>
    <row r="21" spans="1:4" ht="15.75" customHeight="1" x14ac:dyDescent="0.3">
      <c r="A21" s="19">
        <v>20</v>
      </c>
      <c r="B21" s="19">
        <v>1</v>
      </c>
      <c r="C21" s="19">
        <v>92</v>
      </c>
      <c r="D21" s="19" t="s">
        <v>230</v>
      </c>
    </row>
    <row r="22" spans="1:4" ht="15.75" customHeight="1" x14ac:dyDescent="0.3">
      <c r="A22" s="19">
        <v>21</v>
      </c>
      <c r="B22" s="19">
        <v>1</v>
      </c>
      <c r="C22" s="19">
        <v>76</v>
      </c>
      <c r="D22" s="19" t="s">
        <v>231</v>
      </c>
    </row>
    <row r="23" spans="1:4" ht="15.75" customHeight="1" x14ac:dyDescent="0.3">
      <c r="A23" s="19">
        <v>22</v>
      </c>
      <c r="B23" s="19">
        <v>1</v>
      </c>
      <c r="C23" s="19">
        <v>82</v>
      </c>
      <c r="D23" s="19" t="s">
        <v>232</v>
      </c>
    </row>
    <row r="24" spans="1:4" ht="15.75" customHeight="1" x14ac:dyDescent="0.3">
      <c r="A24" s="19">
        <v>23</v>
      </c>
      <c r="B24" s="19">
        <v>1</v>
      </c>
      <c r="C24" s="19">
        <v>78</v>
      </c>
      <c r="D24" s="19" t="s">
        <v>233</v>
      </c>
    </row>
    <row r="25" spans="1:4" ht="15.75" customHeight="1" x14ac:dyDescent="0.3">
      <c r="A25" s="19">
        <v>24</v>
      </c>
      <c r="B25" s="19">
        <v>1</v>
      </c>
      <c r="C25" s="19">
        <v>84</v>
      </c>
      <c r="D25" s="19" t="s">
        <v>234</v>
      </c>
    </row>
    <row r="26" spans="1:4" ht="15.75" customHeight="1" x14ac:dyDescent="0.3">
      <c r="A26" s="19">
        <v>25</v>
      </c>
      <c r="B26" s="19">
        <v>1</v>
      </c>
      <c r="C26" s="19">
        <v>98</v>
      </c>
      <c r="D26" s="19" t="s">
        <v>235</v>
      </c>
    </row>
    <row r="27" spans="1:4" ht="15.75" customHeight="1" x14ac:dyDescent="0.3">
      <c r="A27" s="19">
        <v>26</v>
      </c>
      <c r="B27" s="19">
        <v>1</v>
      </c>
      <c r="C27" s="19">
        <v>97</v>
      </c>
      <c r="D27" s="19" t="s">
        <v>236</v>
      </c>
    </row>
    <row r="28" spans="1:4" ht="15.75" customHeight="1" x14ac:dyDescent="0.3">
      <c r="A28" s="19">
        <v>27</v>
      </c>
      <c r="B28" s="19">
        <v>1</v>
      </c>
      <c r="C28" s="19">
        <v>94</v>
      </c>
      <c r="D28" s="19" t="s">
        <v>237</v>
      </c>
    </row>
    <row r="29" spans="1:4" ht="15.75" customHeight="1" x14ac:dyDescent="0.3">
      <c r="A29" s="19">
        <v>28</v>
      </c>
      <c r="B29" s="19">
        <v>1</v>
      </c>
      <c r="C29" s="19">
        <v>82</v>
      </c>
      <c r="D29" s="19" t="s">
        <v>238</v>
      </c>
    </row>
    <row r="30" spans="1:4" ht="15.75" customHeight="1" x14ac:dyDescent="0.3">
      <c r="A30" s="19">
        <v>29</v>
      </c>
      <c r="B30" s="19">
        <v>1</v>
      </c>
      <c r="C30" s="19">
        <v>72</v>
      </c>
      <c r="D30" s="19" t="s">
        <v>239</v>
      </c>
    </row>
    <row r="31" spans="1:4" ht="15.75" customHeight="1" x14ac:dyDescent="0.3">
      <c r="A31" s="19">
        <v>30</v>
      </c>
      <c r="B31" s="19">
        <v>0</v>
      </c>
      <c r="C31" s="19">
        <v>78</v>
      </c>
      <c r="D31" s="19" t="s">
        <v>240</v>
      </c>
    </row>
    <row r="32" spans="1:4" ht="15.75" customHeight="1" x14ac:dyDescent="0.3">
      <c r="A32" s="19">
        <v>31</v>
      </c>
      <c r="B32" s="19">
        <v>1</v>
      </c>
      <c r="C32" s="19">
        <v>98</v>
      </c>
      <c r="D32" s="19" t="s">
        <v>241</v>
      </c>
    </row>
    <row r="33" spans="1:4" ht="15.75" customHeight="1" x14ac:dyDescent="0.3">
      <c r="A33" s="19">
        <v>32</v>
      </c>
      <c r="B33" s="19">
        <v>0</v>
      </c>
      <c r="C33" s="19">
        <v>93</v>
      </c>
      <c r="D33" s="19" t="s">
        <v>242</v>
      </c>
    </row>
    <row r="34" spans="1:4" ht="15.75" customHeight="1" x14ac:dyDescent="0.3">
      <c r="A34" s="19">
        <v>33</v>
      </c>
      <c r="B34" s="19">
        <v>0</v>
      </c>
      <c r="C34" s="19">
        <v>92</v>
      </c>
      <c r="D34" s="19" t="s">
        <v>243</v>
      </c>
    </row>
    <row r="35" spans="1:4" ht="15.75" customHeight="1" x14ac:dyDescent="0.3">
      <c r="A35" s="19">
        <v>34</v>
      </c>
      <c r="B35" s="19">
        <v>0</v>
      </c>
      <c r="C35" s="19">
        <v>72</v>
      </c>
      <c r="D35" s="19" t="s">
        <v>244</v>
      </c>
    </row>
    <row r="36" spans="1:4" ht="15.75" customHeight="1" x14ac:dyDescent="0.3">
      <c r="A36" s="19">
        <v>35</v>
      </c>
      <c r="B36" s="19">
        <v>0</v>
      </c>
      <c r="C36" s="19">
        <v>82</v>
      </c>
      <c r="D36" s="19" t="s">
        <v>245</v>
      </c>
    </row>
    <row r="37" spans="1:4" ht="15.75" customHeight="1" x14ac:dyDescent="0.3">
      <c r="A37" s="19">
        <v>36</v>
      </c>
      <c r="B37" s="19">
        <v>0</v>
      </c>
      <c r="C37" s="19">
        <v>78</v>
      </c>
      <c r="D37" s="19" t="s">
        <v>246</v>
      </c>
    </row>
    <row r="38" spans="1:4" ht="15.75" customHeight="1" x14ac:dyDescent="0.3">
      <c r="A38" s="19">
        <v>37</v>
      </c>
      <c r="B38" s="19">
        <v>1</v>
      </c>
      <c r="C38" s="19">
        <v>96</v>
      </c>
      <c r="D38" s="19" t="s">
        <v>247</v>
      </c>
    </row>
    <row r="39" spans="1:4" ht="15.75" customHeight="1" x14ac:dyDescent="0.3">
      <c r="A39" s="19">
        <v>38</v>
      </c>
      <c r="B39" s="19">
        <v>0</v>
      </c>
      <c r="C39" s="19">
        <v>87</v>
      </c>
      <c r="D39" s="19" t="s">
        <v>248</v>
      </c>
    </row>
    <row r="40" spans="1:4" ht="15.75" customHeight="1" x14ac:dyDescent="0.3">
      <c r="A40" s="19">
        <v>39</v>
      </c>
      <c r="B40" s="19">
        <v>1</v>
      </c>
      <c r="C40" s="19">
        <v>98</v>
      </c>
      <c r="D40" s="19" t="s">
        <v>249</v>
      </c>
    </row>
    <row r="41" spans="1:4" ht="15.75" customHeight="1" x14ac:dyDescent="0.3">
      <c r="A41" s="19">
        <v>40</v>
      </c>
      <c r="B41" s="19">
        <v>1</v>
      </c>
      <c r="C41" s="19">
        <v>93</v>
      </c>
      <c r="D41" s="19" t="s">
        <v>250</v>
      </c>
    </row>
    <row r="42" spans="1:4" ht="15.75" customHeight="1" x14ac:dyDescent="0.3">
      <c r="A42" s="19">
        <v>41</v>
      </c>
      <c r="B42" s="19">
        <v>1</v>
      </c>
      <c r="C42" s="19">
        <v>87</v>
      </c>
      <c r="D42" s="19" t="s">
        <v>251</v>
      </c>
    </row>
    <row r="43" spans="1:4" ht="15.75" customHeight="1" x14ac:dyDescent="0.3">
      <c r="A43" s="19">
        <v>42</v>
      </c>
      <c r="B43" s="19">
        <v>0</v>
      </c>
      <c r="C43" s="19">
        <v>78</v>
      </c>
      <c r="D43" s="19" t="s">
        <v>252</v>
      </c>
    </row>
    <row r="44" spans="1:4" ht="15.75" customHeight="1" x14ac:dyDescent="0.3">
      <c r="A44" s="19">
        <v>43</v>
      </c>
      <c r="B44" s="19">
        <v>0</v>
      </c>
      <c r="C44" s="19">
        <v>87</v>
      </c>
      <c r="D44" s="19" t="s">
        <v>253</v>
      </c>
    </row>
    <row r="45" spans="1:4" ht="15.75" customHeight="1" x14ac:dyDescent="0.3">
      <c r="A45" s="19">
        <v>44</v>
      </c>
      <c r="B45" s="19">
        <v>0</v>
      </c>
      <c r="C45" s="19">
        <v>84</v>
      </c>
      <c r="D45" s="19" t="s">
        <v>254</v>
      </c>
    </row>
    <row r="46" spans="1:4" ht="15.75" customHeight="1" x14ac:dyDescent="0.3">
      <c r="A46" s="19">
        <v>45</v>
      </c>
      <c r="B46" s="19">
        <v>0</v>
      </c>
      <c r="C46" s="19">
        <v>77</v>
      </c>
      <c r="D46" s="19" t="s">
        <v>255</v>
      </c>
    </row>
    <row r="47" spans="1:4" ht="15.75" customHeight="1" x14ac:dyDescent="0.3">
      <c r="A47" s="19">
        <v>46</v>
      </c>
      <c r="B47" s="19">
        <v>0</v>
      </c>
      <c r="C47" s="19">
        <v>86</v>
      </c>
      <c r="D47" s="19" t="s">
        <v>256</v>
      </c>
    </row>
    <row r="48" spans="1:4" ht="15.75" customHeight="1" x14ac:dyDescent="0.3">
      <c r="A48" s="19">
        <v>47</v>
      </c>
      <c r="B48" s="19">
        <v>1</v>
      </c>
      <c r="C48" s="19">
        <v>98</v>
      </c>
      <c r="D48" s="19" t="s">
        <v>257</v>
      </c>
    </row>
    <row r="49" spans="1:4" ht="15.75" customHeight="1" x14ac:dyDescent="0.3">
      <c r="A49" s="19">
        <v>48</v>
      </c>
      <c r="B49" s="19">
        <v>0</v>
      </c>
      <c r="C49" s="19">
        <v>78</v>
      </c>
      <c r="D49" s="19" t="s">
        <v>258</v>
      </c>
    </row>
    <row r="50" spans="1:4" ht="15.75" customHeight="1" x14ac:dyDescent="0.3">
      <c r="A50" s="19">
        <v>49</v>
      </c>
      <c r="B50" s="19">
        <v>1</v>
      </c>
      <c r="C50" s="19">
        <v>98</v>
      </c>
      <c r="D50" s="19" t="s">
        <v>259</v>
      </c>
    </row>
    <row r="51" spans="1:4" ht="15.75" customHeight="1" x14ac:dyDescent="0.3">
      <c r="A51" s="19">
        <v>50</v>
      </c>
      <c r="B51" s="19">
        <v>1</v>
      </c>
      <c r="C51" s="19">
        <v>78</v>
      </c>
      <c r="D51" s="19" t="s">
        <v>260</v>
      </c>
    </row>
    <row r="52" spans="1:4" ht="15.75" customHeight="1" x14ac:dyDescent="0.3">
      <c r="A52" s="19">
        <v>51</v>
      </c>
      <c r="B52" s="19">
        <v>1</v>
      </c>
      <c r="C52" s="19">
        <v>96</v>
      </c>
      <c r="D52" s="19" t="s">
        <v>261</v>
      </c>
    </row>
    <row r="53" spans="1:4" ht="15.75" customHeight="1" x14ac:dyDescent="0.3">
      <c r="A53" s="19">
        <v>52</v>
      </c>
      <c r="B53" s="19">
        <v>0</v>
      </c>
      <c r="C53" s="19">
        <v>92</v>
      </c>
      <c r="D53" s="19" t="s">
        <v>262</v>
      </c>
    </row>
    <row r="54" spans="1:4" ht="15.75" customHeight="1" x14ac:dyDescent="0.3">
      <c r="A54" s="19">
        <v>53</v>
      </c>
      <c r="B54" s="19">
        <v>0</v>
      </c>
      <c r="C54" s="19">
        <v>92</v>
      </c>
      <c r="D54" s="19" t="s">
        <v>263</v>
      </c>
    </row>
    <row r="55" spans="1:4" ht="15.75" customHeight="1" x14ac:dyDescent="0.3">
      <c r="A55" s="19">
        <v>54</v>
      </c>
      <c r="B55" s="19">
        <v>0</v>
      </c>
      <c r="C55" s="19">
        <v>72</v>
      </c>
      <c r="D55" s="19" t="s">
        <v>264</v>
      </c>
    </row>
    <row r="56" spans="1:4" ht="15.75" customHeight="1" x14ac:dyDescent="0.3">
      <c r="A56" s="19">
        <v>55</v>
      </c>
      <c r="B56" s="19">
        <v>1</v>
      </c>
      <c r="C56" s="19">
        <v>99</v>
      </c>
      <c r="D56" s="19" t="s">
        <v>265</v>
      </c>
    </row>
    <row r="57" spans="1:4" ht="15.75" customHeight="1" x14ac:dyDescent="0.3">
      <c r="A57" s="19">
        <v>56</v>
      </c>
      <c r="B57" s="19">
        <v>0</v>
      </c>
      <c r="C57" s="19">
        <v>93</v>
      </c>
      <c r="D57" s="19" t="s">
        <v>266</v>
      </c>
    </row>
    <row r="58" spans="1:4" ht="15.75" customHeight="1" x14ac:dyDescent="0.3">
      <c r="A58" s="19">
        <v>57</v>
      </c>
      <c r="B58" s="19">
        <v>1</v>
      </c>
      <c r="C58" s="19">
        <v>92</v>
      </c>
      <c r="D58" s="19" t="s">
        <v>267</v>
      </c>
    </row>
    <row r="59" spans="1:4" ht="15.75" customHeight="1" x14ac:dyDescent="0.3">
      <c r="A59" s="19">
        <v>58</v>
      </c>
      <c r="B59" s="19">
        <v>1</v>
      </c>
      <c r="C59" s="19">
        <v>99</v>
      </c>
      <c r="D59" s="19" t="s">
        <v>268</v>
      </c>
    </row>
    <row r="60" spans="1:4" ht="15.75" customHeight="1" x14ac:dyDescent="0.3">
      <c r="A60" s="19">
        <v>59</v>
      </c>
      <c r="B60" s="19">
        <v>1</v>
      </c>
      <c r="C60" s="19">
        <v>78</v>
      </c>
      <c r="D60" s="19" t="s">
        <v>269</v>
      </c>
    </row>
    <row r="61" spans="1:4" ht="15.75" customHeight="1" x14ac:dyDescent="0.3">
      <c r="A61" s="19">
        <v>60</v>
      </c>
      <c r="B61" s="19">
        <v>1</v>
      </c>
      <c r="C61" s="19">
        <v>86</v>
      </c>
      <c r="D61" s="19" t="s">
        <v>270</v>
      </c>
    </row>
    <row r="62" spans="1:4" ht="15.75" customHeight="1" x14ac:dyDescent="0.3">
      <c r="A62" s="19">
        <v>61</v>
      </c>
      <c r="B62" s="19">
        <v>1</v>
      </c>
      <c r="C62" s="19">
        <v>86</v>
      </c>
      <c r="D62" s="19" t="s">
        <v>271</v>
      </c>
    </row>
    <row r="63" spans="1:4" ht="15.75" customHeight="1" x14ac:dyDescent="0.3">
      <c r="A63" s="19">
        <v>62</v>
      </c>
      <c r="B63" s="19">
        <v>0</v>
      </c>
      <c r="C63" s="19">
        <v>82</v>
      </c>
      <c r="D63" s="19" t="s">
        <v>272</v>
      </c>
    </row>
    <row r="64" spans="1:4" ht="15.75" customHeight="1" x14ac:dyDescent="0.3">
      <c r="A64" s="19">
        <v>63</v>
      </c>
      <c r="B64" s="19">
        <v>1</v>
      </c>
      <c r="C64" s="19">
        <v>78</v>
      </c>
      <c r="D64" s="19" t="s">
        <v>273</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96</v>
      </c>
      <c r="D2" s="19" t="s">
        <v>274</v>
      </c>
    </row>
    <row r="3" spans="1:4" ht="14.4" x14ac:dyDescent="0.3">
      <c r="A3" s="19">
        <v>2</v>
      </c>
      <c r="B3" s="19">
        <v>0</v>
      </c>
      <c r="C3" s="19">
        <v>78</v>
      </c>
      <c r="D3" s="19" t="s">
        <v>275</v>
      </c>
    </row>
    <row r="4" spans="1:4" ht="14.4" x14ac:dyDescent="0.3">
      <c r="A4" s="19">
        <v>3</v>
      </c>
      <c r="B4" s="19">
        <v>1</v>
      </c>
      <c r="C4" s="19">
        <v>99</v>
      </c>
      <c r="D4" s="19" t="s">
        <v>276</v>
      </c>
    </row>
    <row r="5" spans="1:4" ht="14.4" x14ac:dyDescent="0.3">
      <c r="A5" s="19">
        <v>4</v>
      </c>
      <c r="B5" s="19">
        <v>0</v>
      </c>
      <c r="C5" s="19">
        <v>84</v>
      </c>
      <c r="D5" s="19" t="s">
        <v>277</v>
      </c>
    </row>
    <row r="6" spans="1:4" ht="14.4" x14ac:dyDescent="0.3">
      <c r="A6" s="19">
        <v>5</v>
      </c>
      <c r="B6" s="19">
        <v>1</v>
      </c>
      <c r="C6" s="19">
        <v>96</v>
      </c>
      <c r="D6" s="19" t="s">
        <v>278</v>
      </c>
    </row>
    <row r="7" spans="1:4" ht="14.4" x14ac:dyDescent="0.3">
      <c r="A7" s="19">
        <v>6</v>
      </c>
      <c r="B7" s="19">
        <v>1</v>
      </c>
      <c r="C7" s="19">
        <v>95</v>
      </c>
      <c r="D7" s="19" t="s">
        <v>279</v>
      </c>
    </row>
    <row r="8" spans="1:4" ht="14.4" x14ac:dyDescent="0.3">
      <c r="A8" s="19">
        <v>7</v>
      </c>
      <c r="B8" s="19">
        <v>0</v>
      </c>
      <c r="C8" s="19">
        <v>86</v>
      </c>
      <c r="D8" s="19" t="s">
        <v>280</v>
      </c>
    </row>
    <row r="9" spans="1:4" ht="14.4" x14ac:dyDescent="0.3">
      <c r="A9" s="19">
        <v>8</v>
      </c>
      <c r="B9" s="19">
        <v>0</v>
      </c>
      <c r="C9" s="19">
        <v>72</v>
      </c>
      <c r="D9" s="19" t="s">
        <v>281</v>
      </c>
    </row>
    <row r="10" spans="1:4" ht="14.4" x14ac:dyDescent="0.3">
      <c r="A10" s="19">
        <v>9</v>
      </c>
      <c r="B10" s="19">
        <v>1</v>
      </c>
      <c r="C10" s="19">
        <v>88</v>
      </c>
      <c r="D10" s="19" t="s">
        <v>282</v>
      </c>
    </row>
    <row r="11" spans="1:4" ht="14.4" x14ac:dyDescent="0.3">
      <c r="A11" s="19">
        <v>10</v>
      </c>
      <c r="B11" s="19">
        <v>1</v>
      </c>
      <c r="C11" s="19">
        <v>78</v>
      </c>
      <c r="D11" s="19" t="s">
        <v>283</v>
      </c>
    </row>
    <row r="12" spans="1:4" ht="14.4" x14ac:dyDescent="0.3">
      <c r="A12" s="19">
        <v>11</v>
      </c>
      <c r="B12" s="19">
        <v>0</v>
      </c>
      <c r="C12" s="19">
        <v>64</v>
      </c>
      <c r="D12" s="19" t="s">
        <v>284</v>
      </c>
    </row>
    <row r="13" spans="1:4" ht="14.4" x14ac:dyDescent="0.3">
      <c r="A13" s="19">
        <v>12</v>
      </c>
      <c r="B13" s="19">
        <v>0</v>
      </c>
      <c r="C13" s="19">
        <v>83</v>
      </c>
      <c r="D13" s="19" t="s">
        <v>285</v>
      </c>
    </row>
    <row r="14" spans="1:4" ht="14.4" x14ac:dyDescent="0.3">
      <c r="A14" s="19">
        <v>13</v>
      </c>
      <c r="B14" s="19">
        <v>1</v>
      </c>
      <c r="C14" s="19">
        <v>97</v>
      </c>
      <c r="D14" s="19" t="s">
        <v>286</v>
      </c>
    </row>
    <row r="15" spans="1:4" ht="14.4" x14ac:dyDescent="0.3">
      <c r="A15" s="19">
        <v>14</v>
      </c>
      <c r="B15" s="19">
        <v>0</v>
      </c>
      <c r="C15" s="19">
        <v>74</v>
      </c>
      <c r="D15" s="19" t="s">
        <v>287</v>
      </c>
    </row>
    <row r="16" spans="1:4" ht="14.4" x14ac:dyDescent="0.3">
      <c r="A16" s="19">
        <v>15</v>
      </c>
      <c r="B16" s="19">
        <v>0</v>
      </c>
      <c r="C16" s="19">
        <v>78</v>
      </c>
      <c r="D16" s="19" t="s">
        <v>288</v>
      </c>
    </row>
    <row r="17" spans="1:4" ht="14.4" x14ac:dyDescent="0.3">
      <c r="A17" s="19">
        <v>16</v>
      </c>
      <c r="B17" s="19">
        <v>1</v>
      </c>
      <c r="C17" s="19">
        <v>82</v>
      </c>
      <c r="D17" s="19" t="s">
        <v>289</v>
      </c>
    </row>
    <row r="18" spans="1:4" ht="14.4" x14ac:dyDescent="0.3">
      <c r="A18" s="19">
        <v>17</v>
      </c>
      <c r="B18" s="19">
        <v>0</v>
      </c>
      <c r="C18" s="19">
        <v>88</v>
      </c>
      <c r="D18" s="19" t="s">
        <v>290</v>
      </c>
    </row>
    <row r="19" spans="1:4" ht="14.4" x14ac:dyDescent="0.3">
      <c r="A19" s="19">
        <v>18</v>
      </c>
      <c r="B19" s="19">
        <v>1</v>
      </c>
      <c r="C19" s="19">
        <v>88</v>
      </c>
      <c r="D19" s="19" t="s">
        <v>291</v>
      </c>
    </row>
    <row r="20" spans="1:4" ht="14.4" x14ac:dyDescent="0.3">
      <c r="A20" s="19">
        <v>19</v>
      </c>
      <c r="B20" s="19">
        <v>1</v>
      </c>
      <c r="C20" s="19">
        <v>96</v>
      </c>
      <c r="D20" s="19" t="s">
        <v>292</v>
      </c>
    </row>
    <row r="21" spans="1:4" ht="15.75" customHeight="1" x14ac:dyDescent="0.3">
      <c r="A21" s="19">
        <v>20</v>
      </c>
      <c r="B21" s="19">
        <v>1</v>
      </c>
      <c r="C21" s="19">
        <v>86</v>
      </c>
      <c r="D21" s="19" t="s">
        <v>293</v>
      </c>
    </row>
    <row r="22" spans="1:4" ht="15.75" customHeight="1" x14ac:dyDescent="0.3">
      <c r="A22" s="19">
        <v>21</v>
      </c>
      <c r="B22" s="19">
        <v>1</v>
      </c>
      <c r="C22" s="19">
        <v>72</v>
      </c>
      <c r="D22" s="19" t="s">
        <v>294</v>
      </c>
    </row>
    <row r="23" spans="1:4" ht="15.75" customHeight="1" x14ac:dyDescent="0.3">
      <c r="A23" s="19">
        <v>22</v>
      </c>
      <c r="B23" s="19">
        <v>1</v>
      </c>
      <c r="C23" s="19">
        <v>78</v>
      </c>
      <c r="D23" s="19" t="s">
        <v>295</v>
      </c>
    </row>
    <row r="24" spans="1:4" ht="15.75" customHeight="1" x14ac:dyDescent="0.3">
      <c r="A24" s="19">
        <v>23</v>
      </c>
      <c r="B24" s="19">
        <v>1</v>
      </c>
      <c r="C24" s="19">
        <v>78</v>
      </c>
      <c r="D24" s="19" t="s">
        <v>296</v>
      </c>
    </row>
    <row r="25" spans="1:4" ht="15.75" customHeight="1" x14ac:dyDescent="0.3">
      <c r="A25" s="19">
        <v>24</v>
      </c>
      <c r="B25" s="19">
        <v>1</v>
      </c>
      <c r="C25" s="19">
        <v>84</v>
      </c>
      <c r="D25" s="19" t="s">
        <v>297</v>
      </c>
    </row>
    <row r="26" spans="1:4" ht="15.75" customHeight="1" x14ac:dyDescent="0.3">
      <c r="A26" s="19">
        <v>25</v>
      </c>
      <c r="B26" s="19">
        <v>1</v>
      </c>
      <c r="C26" s="19">
        <v>97</v>
      </c>
      <c r="D26" s="19" t="s">
        <v>298</v>
      </c>
    </row>
    <row r="27" spans="1:4" ht="15.75" customHeight="1" x14ac:dyDescent="0.3">
      <c r="A27" s="19">
        <v>26</v>
      </c>
      <c r="B27" s="19">
        <v>1</v>
      </c>
      <c r="C27" s="19">
        <v>97</v>
      </c>
      <c r="D27" s="19" t="s">
        <v>299</v>
      </c>
    </row>
    <row r="28" spans="1:4" ht="15.75" customHeight="1" x14ac:dyDescent="0.3">
      <c r="A28" s="19">
        <v>27</v>
      </c>
      <c r="B28" s="19">
        <v>1</v>
      </c>
      <c r="C28" s="19">
        <v>93</v>
      </c>
      <c r="D28" s="19" t="s">
        <v>300</v>
      </c>
    </row>
    <row r="29" spans="1:4" ht="15.75" customHeight="1" x14ac:dyDescent="0.3">
      <c r="A29" s="19">
        <v>28</v>
      </c>
      <c r="B29" s="19">
        <v>1</v>
      </c>
      <c r="C29" s="19">
        <v>78</v>
      </c>
      <c r="D29" s="19" t="s">
        <v>301</v>
      </c>
    </row>
    <row r="30" spans="1:4" ht="15.75" customHeight="1" x14ac:dyDescent="0.3">
      <c r="A30" s="19">
        <v>29</v>
      </c>
      <c r="B30" s="19">
        <v>1</v>
      </c>
      <c r="C30" s="19">
        <v>78</v>
      </c>
      <c r="D30" s="19" t="s">
        <v>302</v>
      </c>
    </row>
    <row r="31" spans="1:4" ht="15.75" customHeight="1" x14ac:dyDescent="0.3">
      <c r="A31" s="19">
        <v>30</v>
      </c>
      <c r="B31" s="19">
        <v>0</v>
      </c>
      <c r="C31" s="19">
        <v>78</v>
      </c>
      <c r="D31" s="19" t="s">
        <v>303</v>
      </c>
    </row>
    <row r="32" spans="1:4" ht="15.75" customHeight="1" x14ac:dyDescent="0.3">
      <c r="A32" s="19">
        <v>31</v>
      </c>
      <c r="B32" s="19">
        <v>1</v>
      </c>
      <c r="C32" s="19">
        <v>97</v>
      </c>
      <c r="D32" s="19" t="s">
        <v>304</v>
      </c>
    </row>
    <row r="33" spans="1:4" ht="15.75" customHeight="1" x14ac:dyDescent="0.3">
      <c r="A33" s="19">
        <v>32</v>
      </c>
      <c r="B33" s="19">
        <v>0</v>
      </c>
      <c r="C33" s="19">
        <v>92</v>
      </c>
      <c r="D33" s="19" t="s">
        <v>305</v>
      </c>
    </row>
    <row r="34" spans="1:4" ht="15.75" customHeight="1" x14ac:dyDescent="0.3">
      <c r="A34" s="19">
        <v>33</v>
      </c>
      <c r="B34" s="19">
        <v>0</v>
      </c>
      <c r="C34" s="19">
        <v>94</v>
      </c>
      <c r="D34" s="19" t="s">
        <v>306</v>
      </c>
    </row>
    <row r="35" spans="1:4" ht="15.75" customHeight="1" x14ac:dyDescent="0.3">
      <c r="A35" s="19">
        <v>34</v>
      </c>
      <c r="B35" s="19">
        <v>0</v>
      </c>
      <c r="C35" s="19">
        <v>74</v>
      </c>
      <c r="D35" s="19" t="s">
        <v>307</v>
      </c>
    </row>
    <row r="36" spans="1:4" ht="15.75" customHeight="1" x14ac:dyDescent="0.3">
      <c r="A36" s="19">
        <v>35</v>
      </c>
      <c r="B36" s="19">
        <v>0</v>
      </c>
      <c r="C36" s="19">
        <v>82</v>
      </c>
      <c r="D36" s="19" t="s">
        <v>308</v>
      </c>
    </row>
    <row r="37" spans="1:4" ht="15.75" customHeight="1" x14ac:dyDescent="0.3">
      <c r="A37" s="19">
        <v>36</v>
      </c>
      <c r="B37" s="19">
        <v>0</v>
      </c>
      <c r="C37" s="19">
        <v>82</v>
      </c>
      <c r="D37" s="19" t="s">
        <v>309</v>
      </c>
    </row>
    <row r="38" spans="1:4" ht="15.75" customHeight="1" x14ac:dyDescent="0.3">
      <c r="A38" s="19">
        <v>37</v>
      </c>
      <c r="B38" s="19">
        <v>1</v>
      </c>
      <c r="C38" s="19">
        <v>96</v>
      </c>
      <c r="D38" s="19" t="s">
        <v>310</v>
      </c>
    </row>
    <row r="39" spans="1:4" ht="15.75" customHeight="1" x14ac:dyDescent="0.3">
      <c r="A39" s="19">
        <v>38</v>
      </c>
      <c r="B39" s="19">
        <v>0</v>
      </c>
      <c r="C39" s="19">
        <v>78</v>
      </c>
      <c r="D39" s="19" t="s">
        <v>311</v>
      </c>
    </row>
    <row r="40" spans="1:4" ht="15.75" customHeight="1" x14ac:dyDescent="0.3">
      <c r="A40" s="19">
        <v>39</v>
      </c>
      <c r="B40" s="19">
        <v>1</v>
      </c>
      <c r="C40" s="19">
        <v>98</v>
      </c>
      <c r="D40" s="19" t="s">
        <v>312</v>
      </c>
    </row>
    <row r="41" spans="1:4" ht="15.75" customHeight="1" x14ac:dyDescent="0.3">
      <c r="A41" s="19">
        <v>40</v>
      </c>
      <c r="B41" s="19">
        <v>1</v>
      </c>
      <c r="C41" s="19">
        <v>92</v>
      </c>
      <c r="D41" s="19" t="s">
        <v>313</v>
      </c>
    </row>
    <row r="42" spans="1:4" ht="15.75" customHeight="1" x14ac:dyDescent="0.3">
      <c r="A42" s="19">
        <v>41</v>
      </c>
      <c r="B42" s="19">
        <v>1</v>
      </c>
      <c r="C42" s="19">
        <v>82</v>
      </c>
      <c r="D42" s="19" t="s">
        <v>314</v>
      </c>
    </row>
    <row r="43" spans="1:4" ht="15.75" customHeight="1" x14ac:dyDescent="0.3">
      <c r="A43" s="19">
        <v>42</v>
      </c>
      <c r="B43" s="19">
        <v>0</v>
      </c>
      <c r="C43" s="19">
        <v>72</v>
      </c>
      <c r="D43" s="19" t="s">
        <v>315</v>
      </c>
    </row>
    <row r="44" spans="1:4" ht="15.75" customHeight="1" x14ac:dyDescent="0.3">
      <c r="A44" s="19">
        <v>43</v>
      </c>
      <c r="B44" s="19">
        <v>0</v>
      </c>
      <c r="C44" s="19">
        <v>83</v>
      </c>
      <c r="D44" s="19" t="s">
        <v>316</v>
      </c>
    </row>
    <row r="45" spans="1:4" ht="15.75" customHeight="1" x14ac:dyDescent="0.3">
      <c r="A45" s="19">
        <v>44</v>
      </c>
      <c r="B45" s="19">
        <v>0</v>
      </c>
      <c r="C45" s="19">
        <v>78</v>
      </c>
      <c r="D45" s="19" t="s">
        <v>317</v>
      </c>
    </row>
    <row r="46" spans="1:4" ht="15.75" customHeight="1" x14ac:dyDescent="0.3">
      <c r="A46" s="19">
        <v>45</v>
      </c>
      <c r="B46" s="19">
        <v>0</v>
      </c>
      <c r="C46" s="19">
        <v>74</v>
      </c>
      <c r="D46" s="19" t="s">
        <v>318</v>
      </c>
    </row>
    <row r="47" spans="1:4" ht="15.75" customHeight="1" x14ac:dyDescent="0.3">
      <c r="A47" s="19">
        <v>46</v>
      </c>
      <c r="B47" s="19">
        <v>0</v>
      </c>
      <c r="C47" s="19">
        <v>78</v>
      </c>
      <c r="D47" s="19" t="s">
        <v>319</v>
      </c>
    </row>
    <row r="48" spans="1:4" ht="15.75" customHeight="1" x14ac:dyDescent="0.3">
      <c r="A48" s="19">
        <v>47</v>
      </c>
      <c r="B48" s="19">
        <v>1</v>
      </c>
      <c r="C48" s="19">
        <v>96</v>
      </c>
      <c r="D48" s="19" t="s">
        <v>320</v>
      </c>
    </row>
    <row r="49" spans="1:4" ht="15.75" customHeight="1" x14ac:dyDescent="0.3">
      <c r="A49" s="19">
        <v>48</v>
      </c>
      <c r="B49" s="19">
        <v>0</v>
      </c>
      <c r="C49" s="19">
        <v>77</v>
      </c>
      <c r="D49" s="19" t="s">
        <v>321</v>
      </c>
    </row>
    <row r="50" spans="1:4" ht="15.75" customHeight="1" x14ac:dyDescent="0.3">
      <c r="A50" s="19">
        <v>49</v>
      </c>
      <c r="B50" s="19">
        <v>1</v>
      </c>
      <c r="C50" s="19">
        <v>97</v>
      </c>
      <c r="D50" s="19" t="s">
        <v>322</v>
      </c>
    </row>
    <row r="51" spans="1:4" ht="15.75" customHeight="1" x14ac:dyDescent="0.3">
      <c r="A51" s="19">
        <v>50</v>
      </c>
      <c r="B51" s="19">
        <v>1</v>
      </c>
      <c r="C51" s="19">
        <v>82</v>
      </c>
      <c r="D51" s="19" t="s">
        <v>323</v>
      </c>
    </row>
    <row r="52" spans="1:4" ht="15.75" customHeight="1" x14ac:dyDescent="0.3">
      <c r="A52" s="19">
        <v>51</v>
      </c>
      <c r="B52" s="19">
        <v>1</v>
      </c>
      <c r="C52" s="19">
        <v>96</v>
      </c>
      <c r="D52" s="19" t="s">
        <v>324</v>
      </c>
    </row>
    <row r="53" spans="1:4" ht="15.75" customHeight="1" x14ac:dyDescent="0.3">
      <c r="A53" s="19">
        <v>52</v>
      </c>
      <c r="B53" s="19">
        <v>0</v>
      </c>
      <c r="C53" s="19">
        <v>88</v>
      </c>
      <c r="D53" s="19" t="s">
        <v>325</v>
      </c>
    </row>
    <row r="54" spans="1:4" ht="15.75" customHeight="1" x14ac:dyDescent="0.3">
      <c r="A54" s="19">
        <v>53</v>
      </c>
      <c r="B54" s="19">
        <v>0</v>
      </c>
      <c r="C54" s="19">
        <v>87</v>
      </c>
      <c r="D54" s="19" t="s">
        <v>326</v>
      </c>
    </row>
    <row r="55" spans="1:4" ht="15.75" customHeight="1" x14ac:dyDescent="0.3">
      <c r="A55" s="19">
        <v>54</v>
      </c>
      <c r="B55" s="19">
        <v>0</v>
      </c>
      <c r="C55" s="19">
        <v>72</v>
      </c>
      <c r="D55" s="19" t="s">
        <v>327</v>
      </c>
    </row>
    <row r="56" spans="1:4" ht="15.75" customHeight="1" x14ac:dyDescent="0.3">
      <c r="A56" s="19">
        <v>55</v>
      </c>
      <c r="B56" s="19">
        <v>1</v>
      </c>
      <c r="C56" s="19">
        <v>99</v>
      </c>
      <c r="D56" s="19" t="s">
        <v>328</v>
      </c>
    </row>
    <row r="57" spans="1:4" ht="15.75" customHeight="1" x14ac:dyDescent="0.3">
      <c r="A57" s="19">
        <v>56</v>
      </c>
      <c r="B57" s="19">
        <v>0</v>
      </c>
      <c r="C57" s="19">
        <v>96</v>
      </c>
      <c r="D57" s="19" t="s">
        <v>329</v>
      </c>
    </row>
    <row r="58" spans="1:4" ht="15.75" customHeight="1" x14ac:dyDescent="0.3">
      <c r="A58" s="19">
        <v>57</v>
      </c>
      <c r="B58" s="19">
        <v>1</v>
      </c>
      <c r="C58" s="19">
        <v>93</v>
      </c>
      <c r="D58" s="19" t="s">
        <v>330</v>
      </c>
    </row>
    <row r="59" spans="1:4" ht="15.75" customHeight="1" x14ac:dyDescent="0.3">
      <c r="A59" s="19">
        <v>58</v>
      </c>
      <c r="B59" s="19">
        <v>1</v>
      </c>
      <c r="C59" s="19">
        <v>99</v>
      </c>
      <c r="D59" s="19" t="s">
        <v>331</v>
      </c>
    </row>
    <row r="60" spans="1:4" ht="15.75" customHeight="1" x14ac:dyDescent="0.3">
      <c r="A60" s="19">
        <v>59</v>
      </c>
      <c r="B60" s="19">
        <v>1</v>
      </c>
      <c r="C60" s="19">
        <v>78</v>
      </c>
      <c r="D60" s="19" t="s">
        <v>332</v>
      </c>
    </row>
    <row r="61" spans="1:4" ht="15.75" customHeight="1" x14ac:dyDescent="0.3">
      <c r="A61" s="19">
        <v>60</v>
      </c>
      <c r="B61" s="19">
        <v>1</v>
      </c>
      <c r="C61" s="19">
        <v>86</v>
      </c>
      <c r="D61" s="19" t="s">
        <v>333</v>
      </c>
    </row>
    <row r="62" spans="1:4" ht="15.75" customHeight="1" x14ac:dyDescent="0.3">
      <c r="A62" s="19">
        <v>61</v>
      </c>
      <c r="B62" s="19">
        <v>1</v>
      </c>
      <c r="C62" s="19">
        <v>78</v>
      </c>
      <c r="D62" s="19" t="s">
        <v>334</v>
      </c>
    </row>
    <row r="63" spans="1:4" ht="15.75" customHeight="1" x14ac:dyDescent="0.3">
      <c r="A63" s="19">
        <v>62</v>
      </c>
      <c r="B63" s="19">
        <v>0</v>
      </c>
      <c r="C63" s="19">
        <v>78</v>
      </c>
      <c r="D63" s="19" t="s">
        <v>335</v>
      </c>
    </row>
    <row r="64" spans="1:4" ht="15.75" customHeight="1" x14ac:dyDescent="0.3">
      <c r="A64" s="19">
        <v>63</v>
      </c>
      <c r="B64" s="19">
        <v>1</v>
      </c>
      <c r="C64" s="19">
        <v>78</v>
      </c>
      <c r="D64" s="19" t="s">
        <v>336</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tabSelected="1"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96</v>
      </c>
      <c r="D2" s="19" t="s">
        <v>22</v>
      </c>
    </row>
    <row r="3" spans="1:4" ht="14.4" x14ac:dyDescent="0.3">
      <c r="A3" s="19">
        <v>2</v>
      </c>
      <c r="B3" s="19">
        <v>0</v>
      </c>
      <c r="C3" s="19">
        <v>86</v>
      </c>
      <c r="D3" s="19" t="s">
        <v>23</v>
      </c>
    </row>
    <row r="4" spans="1:4" ht="14.4" x14ac:dyDescent="0.3">
      <c r="A4" s="19">
        <v>3</v>
      </c>
      <c r="B4" s="19">
        <v>1</v>
      </c>
      <c r="C4" s="19">
        <v>99</v>
      </c>
      <c r="D4" s="19" t="s">
        <v>24</v>
      </c>
    </row>
    <row r="5" spans="1:4" ht="14.4" x14ac:dyDescent="0.3">
      <c r="A5" s="19">
        <v>4</v>
      </c>
      <c r="B5" s="19">
        <v>0</v>
      </c>
      <c r="C5" s="19">
        <v>92</v>
      </c>
      <c r="D5" s="19" t="s">
        <v>25</v>
      </c>
    </row>
    <row r="6" spans="1:4" ht="14.4" x14ac:dyDescent="0.3">
      <c r="A6" s="19">
        <v>5</v>
      </c>
      <c r="B6" s="19">
        <v>1</v>
      </c>
      <c r="C6" s="19">
        <v>97</v>
      </c>
      <c r="D6" s="19" t="s">
        <v>26</v>
      </c>
    </row>
    <row r="7" spans="1:4" ht="14.4" x14ac:dyDescent="0.3">
      <c r="A7" s="19">
        <v>6</v>
      </c>
      <c r="B7" s="19">
        <v>1</v>
      </c>
      <c r="C7" s="19">
        <v>96</v>
      </c>
      <c r="D7" s="19" t="s">
        <v>27</v>
      </c>
    </row>
    <row r="8" spans="1:4" ht="14.4" x14ac:dyDescent="0.3">
      <c r="A8" s="19">
        <v>7</v>
      </c>
      <c r="B8" s="19">
        <v>0</v>
      </c>
      <c r="C8" s="19">
        <v>92</v>
      </c>
      <c r="D8" s="19" t="s">
        <v>28</v>
      </c>
    </row>
    <row r="9" spans="1:4" ht="14.4" x14ac:dyDescent="0.3">
      <c r="A9" s="19">
        <v>8</v>
      </c>
      <c r="B9" s="19">
        <v>0</v>
      </c>
      <c r="C9" s="19">
        <v>71</v>
      </c>
      <c r="D9" s="19" t="s">
        <v>29</v>
      </c>
    </row>
    <row r="10" spans="1:4" ht="14.4" x14ac:dyDescent="0.3">
      <c r="A10" s="19">
        <v>9</v>
      </c>
      <c r="B10" s="19">
        <v>1</v>
      </c>
      <c r="C10" s="19">
        <v>86</v>
      </c>
      <c r="D10" s="19" t="s">
        <v>30</v>
      </c>
    </row>
    <row r="11" spans="1:4" ht="14.4" x14ac:dyDescent="0.3">
      <c r="A11" s="19">
        <v>10</v>
      </c>
      <c r="B11" s="19">
        <v>1</v>
      </c>
      <c r="C11" s="19">
        <v>72</v>
      </c>
      <c r="D11" s="19" t="s">
        <v>31</v>
      </c>
    </row>
    <row r="12" spans="1:4" ht="14.4" x14ac:dyDescent="0.3">
      <c r="A12" s="19">
        <v>11</v>
      </c>
      <c r="B12" s="19">
        <v>0</v>
      </c>
      <c r="C12" s="19">
        <v>74</v>
      </c>
      <c r="D12" s="19" t="s">
        <v>32</v>
      </c>
    </row>
    <row r="13" spans="1:4" ht="14.4" x14ac:dyDescent="0.3">
      <c r="A13" s="19">
        <v>12</v>
      </c>
      <c r="B13" s="19">
        <v>0</v>
      </c>
      <c r="C13" s="19">
        <v>78</v>
      </c>
      <c r="D13" s="19" t="s">
        <v>33</v>
      </c>
    </row>
    <row r="14" spans="1:4" ht="14.4" x14ac:dyDescent="0.3">
      <c r="A14" s="19">
        <v>13</v>
      </c>
      <c r="B14" s="19">
        <v>1</v>
      </c>
      <c r="C14" s="19">
        <v>97</v>
      </c>
      <c r="D14" s="19" t="s">
        <v>34</v>
      </c>
    </row>
    <row r="15" spans="1:4" ht="14.4" x14ac:dyDescent="0.3">
      <c r="A15" s="19">
        <v>14</v>
      </c>
      <c r="B15" s="19">
        <v>0</v>
      </c>
      <c r="C15" s="19">
        <v>66</v>
      </c>
      <c r="D15" s="19" t="s">
        <v>35</v>
      </c>
    </row>
    <row r="16" spans="1:4" ht="14.4" x14ac:dyDescent="0.3">
      <c r="A16" s="19">
        <v>15</v>
      </c>
      <c r="B16" s="19">
        <v>0</v>
      </c>
      <c r="C16" s="19">
        <v>78</v>
      </c>
      <c r="D16" s="19" t="s">
        <v>36</v>
      </c>
    </row>
    <row r="17" spans="1:4" ht="14.4" x14ac:dyDescent="0.3">
      <c r="A17" s="19">
        <v>16</v>
      </c>
      <c r="B17" s="19">
        <v>1</v>
      </c>
      <c r="C17" s="19">
        <v>87</v>
      </c>
      <c r="D17" s="19" t="s">
        <v>37</v>
      </c>
    </row>
    <row r="18" spans="1:4" ht="14.4" x14ac:dyDescent="0.3">
      <c r="A18" s="19">
        <v>17</v>
      </c>
      <c r="B18" s="19">
        <v>0</v>
      </c>
      <c r="C18" s="19">
        <v>88</v>
      </c>
      <c r="D18" s="19" t="s">
        <v>38</v>
      </c>
    </row>
    <row r="19" spans="1:4" ht="14.4" x14ac:dyDescent="0.3">
      <c r="A19" s="19">
        <v>18</v>
      </c>
      <c r="B19" s="19">
        <v>1</v>
      </c>
      <c r="C19" s="19">
        <v>92</v>
      </c>
      <c r="D19" s="19" t="s">
        <v>39</v>
      </c>
    </row>
    <row r="20" spans="1:4" ht="14.4" x14ac:dyDescent="0.3">
      <c r="A20" s="19">
        <v>19</v>
      </c>
      <c r="B20" s="19">
        <v>1</v>
      </c>
      <c r="C20" s="19">
        <v>97</v>
      </c>
      <c r="D20" s="19" t="s">
        <v>40</v>
      </c>
    </row>
    <row r="21" spans="1:4" ht="15.75" customHeight="1" x14ac:dyDescent="0.3">
      <c r="A21" s="19">
        <v>20</v>
      </c>
      <c r="B21" s="19">
        <v>1</v>
      </c>
      <c r="C21" s="19">
        <v>87</v>
      </c>
      <c r="D21" s="19" t="s">
        <v>41</v>
      </c>
    </row>
    <row r="22" spans="1:4" ht="15.75" customHeight="1" x14ac:dyDescent="0.3">
      <c r="A22" s="19">
        <v>21</v>
      </c>
      <c r="B22" s="19">
        <v>1</v>
      </c>
      <c r="C22" s="19">
        <v>72</v>
      </c>
      <c r="D22" s="19" t="s">
        <v>42</v>
      </c>
    </row>
    <row r="23" spans="1:4" ht="15.75" customHeight="1" x14ac:dyDescent="0.3">
      <c r="A23" s="19">
        <v>22</v>
      </c>
      <c r="B23" s="19">
        <v>1</v>
      </c>
      <c r="C23" s="19">
        <v>82</v>
      </c>
      <c r="D23" s="19" t="s">
        <v>43</v>
      </c>
    </row>
    <row r="24" spans="1:4" ht="15.75" customHeight="1" x14ac:dyDescent="0.3">
      <c r="A24" s="19">
        <v>23</v>
      </c>
      <c r="B24" s="19">
        <v>1</v>
      </c>
      <c r="C24" s="19">
        <v>78</v>
      </c>
      <c r="D24" s="19" t="s">
        <v>44</v>
      </c>
    </row>
    <row r="25" spans="1:4" ht="15.75" customHeight="1" x14ac:dyDescent="0.3">
      <c r="A25" s="19">
        <v>24</v>
      </c>
      <c r="B25" s="19">
        <v>1</v>
      </c>
      <c r="C25" s="19">
        <v>86</v>
      </c>
      <c r="D25" s="19" t="s">
        <v>45</v>
      </c>
    </row>
    <row r="26" spans="1:4" ht="15.75" customHeight="1" x14ac:dyDescent="0.3">
      <c r="A26" s="19">
        <v>25</v>
      </c>
      <c r="B26" s="19">
        <v>1</v>
      </c>
      <c r="C26" s="19">
        <v>97</v>
      </c>
      <c r="D26" s="19" t="s">
        <v>46</v>
      </c>
    </row>
    <row r="27" spans="1:4" ht="15.75" customHeight="1" x14ac:dyDescent="0.3">
      <c r="A27" s="19">
        <v>26</v>
      </c>
      <c r="B27" s="19">
        <v>1</v>
      </c>
      <c r="C27" s="19">
        <v>97</v>
      </c>
      <c r="D27" s="19" t="s">
        <v>47</v>
      </c>
    </row>
    <row r="28" spans="1:4" ht="15.75" customHeight="1" x14ac:dyDescent="0.3">
      <c r="A28" s="19">
        <v>27</v>
      </c>
      <c r="B28" s="19">
        <v>1</v>
      </c>
      <c r="C28" s="19">
        <v>97</v>
      </c>
      <c r="D28" s="19" t="s">
        <v>48</v>
      </c>
    </row>
    <row r="29" spans="1:4" ht="15.75" customHeight="1" x14ac:dyDescent="0.3">
      <c r="A29" s="19">
        <v>28</v>
      </c>
      <c r="B29" s="19">
        <v>1</v>
      </c>
      <c r="C29" s="19">
        <v>82</v>
      </c>
      <c r="D29" s="19" t="s">
        <v>49</v>
      </c>
    </row>
    <row r="30" spans="1:4" ht="15.75" customHeight="1" x14ac:dyDescent="0.3">
      <c r="A30" s="19">
        <v>29</v>
      </c>
      <c r="B30" s="19">
        <v>1</v>
      </c>
      <c r="C30" s="19">
        <v>78</v>
      </c>
      <c r="D30" s="19" t="s">
        <v>50</v>
      </c>
    </row>
    <row r="31" spans="1:4" ht="15.75" customHeight="1" x14ac:dyDescent="0.3">
      <c r="A31" s="19">
        <v>30</v>
      </c>
      <c r="B31" s="19">
        <v>0</v>
      </c>
      <c r="C31" s="19">
        <v>78</v>
      </c>
      <c r="D31" s="19" t="s">
        <v>51</v>
      </c>
    </row>
    <row r="32" spans="1:4" ht="15.75" customHeight="1" x14ac:dyDescent="0.3">
      <c r="A32" s="19">
        <v>31</v>
      </c>
      <c r="B32" s="19">
        <v>1</v>
      </c>
      <c r="C32" s="19">
        <v>97</v>
      </c>
      <c r="D32" s="19" t="s">
        <v>52</v>
      </c>
    </row>
    <row r="33" spans="1:4" ht="15.75" customHeight="1" x14ac:dyDescent="0.3">
      <c r="A33" s="19">
        <v>32</v>
      </c>
      <c r="B33" s="19">
        <v>0</v>
      </c>
      <c r="C33" s="19">
        <v>92</v>
      </c>
      <c r="D33" s="19" t="s">
        <v>53</v>
      </c>
    </row>
    <row r="34" spans="1:4" ht="15.75" customHeight="1" x14ac:dyDescent="0.3">
      <c r="A34" s="19">
        <v>33</v>
      </c>
      <c r="B34" s="19">
        <v>0</v>
      </c>
      <c r="C34" s="19">
        <v>92</v>
      </c>
      <c r="D34" s="19" t="s">
        <v>54</v>
      </c>
    </row>
    <row r="35" spans="1:4" ht="15.75" customHeight="1" x14ac:dyDescent="0.3">
      <c r="A35" s="19">
        <v>34</v>
      </c>
      <c r="B35" s="19">
        <v>0</v>
      </c>
      <c r="C35" s="19">
        <v>72</v>
      </c>
      <c r="D35" s="19" t="s">
        <v>55</v>
      </c>
    </row>
    <row r="36" spans="1:4" ht="15.75" customHeight="1" x14ac:dyDescent="0.3">
      <c r="A36" s="19">
        <v>35</v>
      </c>
      <c r="B36" s="19">
        <v>0</v>
      </c>
      <c r="C36" s="19">
        <v>90</v>
      </c>
      <c r="D36" s="19" t="s">
        <v>56</v>
      </c>
    </row>
    <row r="37" spans="1:4" ht="15.75" customHeight="1" x14ac:dyDescent="0.3">
      <c r="A37" s="19">
        <v>36</v>
      </c>
      <c r="B37" s="19">
        <v>0</v>
      </c>
      <c r="C37" s="19">
        <v>87</v>
      </c>
      <c r="D37" s="19" t="s">
        <v>57</v>
      </c>
    </row>
    <row r="38" spans="1:4" ht="15.75" customHeight="1" x14ac:dyDescent="0.3">
      <c r="A38" s="19">
        <v>37</v>
      </c>
      <c r="B38" s="19">
        <v>1</v>
      </c>
      <c r="C38" s="19">
        <v>97</v>
      </c>
      <c r="D38" s="19" t="s">
        <v>58</v>
      </c>
    </row>
    <row r="39" spans="1:4" ht="15.75" customHeight="1" x14ac:dyDescent="0.3">
      <c r="A39" s="19">
        <v>38</v>
      </c>
      <c r="B39" s="19">
        <v>0</v>
      </c>
      <c r="C39" s="19">
        <v>88</v>
      </c>
      <c r="D39" s="19" t="s">
        <v>59</v>
      </c>
    </row>
    <row r="40" spans="1:4" ht="15.75" customHeight="1" x14ac:dyDescent="0.3">
      <c r="A40" s="19">
        <v>39</v>
      </c>
      <c r="B40" s="19">
        <v>1</v>
      </c>
      <c r="C40" s="19">
        <v>98</v>
      </c>
      <c r="D40" s="19" t="s">
        <v>60</v>
      </c>
    </row>
    <row r="41" spans="1:4" ht="15.75" customHeight="1" x14ac:dyDescent="0.3">
      <c r="A41" s="19">
        <v>40</v>
      </c>
      <c r="B41" s="19">
        <v>1</v>
      </c>
      <c r="C41" s="19">
        <v>90</v>
      </c>
      <c r="D41" s="19" t="s">
        <v>61</v>
      </c>
    </row>
    <row r="42" spans="1:4" ht="15.75" customHeight="1" x14ac:dyDescent="0.3">
      <c r="A42" s="19">
        <v>41</v>
      </c>
      <c r="B42" s="19">
        <v>1</v>
      </c>
      <c r="C42" s="19">
        <v>87</v>
      </c>
      <c r="D42" s="19" t="s">
        <v>62</v>
      </c>
    </row>
    <row r="43" spans="1:4" ht="15.75" customHeight="1" x14ac:dyDescent="0.3">
      <c r="A43" s="19">
        <v>42</v>
      </c>
      <c r="B43" s="19">
        <v>0</v>
      </c>
      <c r="C43" s="19">
        <v>78</v>
      </c>
      <c r="D43" s="19" t="s">
        <v>63</v>
      </c>
    </row>
    <row r="44" spans="1:4" ht="15.75" customHeight="1" x14ac:dyDescent="0.3">
      <c r="A44" s="19">
        <v>43</v>
      </c>
      <c r="B44" s="19">
        <v>0</v>
      </c>
      <c r="C44" s="19">
        <v>87</v>
      </c>
      <c r="D44" s="19" t="s">
        <v>64</v>
      </c>
    </row>
    <row r="45" spans="1:4" ht="15.75" customHeight="1" x14ac:dyDescent="0.3">
      <c r="A45" s="19">
        <v>44</v>
      </c>
      <c r="B45" s="19">
        <v>0</v>
      </c>
      <c r="C45" s="19">
        <v>82</v>
      </c>
      <c r="D45" s="19" t="s">
        <v>65</v>
      </c>
    </row>
    <row r="46" spans="1:4" ht="15.75" customHeight="1" x14ac:dyDescent="0.3">
      <c r="A46" s="19">
        <v>45</v>
      </c>
      <c r="B46" s="19">
        <v>0</v>
      </c>
      <c r="C46" s="19">
        <v>63</v>
      </c>
      <c r="D46" s="19" t="s">
        <v>66</v>
      </c>
    </row>
    <row r="47" spans="1:4" ht="15.75" customHeight="1" x14ac:dyDescent="0.3">
      <c r="A47" s="19">
        <v>46</v>
      </c>
      <c r="B47" s="19">
        <v>0</v>
      </c>
      <c r="C47" s="19">
        <v>88</v>
      </c>
      <c r="D47" s="19" t="s">
        <v>67</v>
      </c>
    </row>
    <row r="48" spans="1:4" ht="15.75" customHeight="1" x14ac:dyDescent="0.3">
      <c r="A48" s="19">
        <v>47</v>
      </c>
      <c r="B48" s="19">
        <v>1</v>
      </c>
      <c r="C48" s="19">
        <v>97</v>
      </c>
      <c r="D48" s="19" t="s">
        <v>68</v>
      </c>
    </row>
    <row r="49" spans="1:4" ht="15.75" customHeight="1" x14ac:dyDescent="0.3">
      <c r="A49" s="19">
        <v>48</v>
      </c>
      <c r="B49" s="19">
        <v>0</v>
      </c>
      <c r="C49" s="19">
        <v>73</v>
      </c>
      <c r="D49" s="19" t="s">
        <v>69</v>
      </c>
    </row>
    <row r="50" spans="1:4" ht="15.75" customHeight="1" x14ac:dyDescent="0.3">
      <c r="A50" s="19">
        <v>49</v>
      </c>
      <c r="B50" s="19">
        <v>1</v>
      </c>
      <c r="C50" s="19">
        <v>98</v>
      </c>
      <c r="D50" s="19" t="s">
        <v>70</v>
      </c>
    </row>
    <row r="51" spans="1:4" ht="15.75" customHeight="1" x14ac:dyDescent="0.3">
      <c r="A51" s="19">
        <v>50</v>
      </c>
      <c r="B51" s="19">
        <v>1</v>
      </c>
      <c r="C51" s="19">
        <v>78</v>
      </c>
      <c r="D51" s="19" t="s">
        <v>71</v>
      </c>
    </row>
    <row r="52" spans="1:4" ht="15.75" customHeight="1" x14ac:dyDescent="0.3">
      <c r="A52" s="19">
        <v>51</v>
      </c>
      <c r="B52" s="19">
        <v>1</v>
      </c>
      <c r="C52" s="19">
        <v>96</v>
      </c>
      <c r="D52" s="19" t="s">
        <v>72</v>
      </c>
    </row>
    <row r="53" spans="1:4" ht="15.75" customHeight="1" x14ac:dyDescent="0.3">
      <c r="A53" s="19">
        <v>52</v>
      </c>
      <c r="B53" s="19">
        <v>0</v>
      </c>
      <c r="C53" s="19">
        <v>88</v>
      </c>
      <c r="D53" s="19" t="s">
        <v>73</v>
      </c>
    </row>
    <row r="54" spans="1:4" ht="15.75" customHeight="1" x14ac:dyDescent="0.3">
      <c r="A54" s="19">
        <v>53</v>
      </c>
      <c r="B54" s="19">
        <v>0</v>
      </c>
      <c r="C54" s="19">
        <v>93</v>
      </c>
      <c r="D54" s="19" t="s">
        <v>74</v>
      </c>
    </row>
    <row r="55" spans="1:4" ht="15.75" customHeight="1" x14ac:dyDescent="0.3">
      <c r="A55" s="19">
        <v>54</v>
      </c>
      <c r="B55" s="19">
        <v>0</v>
      </c>
      <c r="C55" s="19">
        <v>68</v>
      </c>
      <c r="D55" s="19" t="s">
        <v>75</v>
      </c>
    </row>
    <row r="56" spans="1:4" ht="15.75" customHeight="1" x14ac:dyDescent="0.3">
      <c r="A56" s="19">
        <v>55</v>
      </c>
      <c r="B56" s="19">
        <v>1</v>
      </c>
      <c r="C56" s="19">
        <v>99</v>
      </c>
      <c r="D56" s="19" t="s">
        <v>76</v>
      </c>
    </row>
    <row r="57" spans="1:4" ht="15.75" customHeight="1" x14ac:dyDescent="0.3">
      <c r="A57" s="19">
        <v>56</v>
      </c>
      <c r="B57" s="19">
        <v>0</v>
      </c>
      <c r="C57" s="19">
        <v>92</v>
      </c>
      <c r="D57" s="19" t="s">
        <v>77</v>
      </c>
    </row>
    <row r="58" spans="1:4" ht="15.75" customHeight="1" x14ac:dyDescent="0.3">
      <c r="A58" s="19">
        <v>57</v>
      </c>
      <c r="B58" s="19">
        <v>1</v>
      </c>
      <c r="C58" s="19">
        <v>94</v>
      </c>
      <c r="D58" s="19" t="s">
        <v>78</v>
      </c>
    </row>
    <row r="59" spans="1:4" ht="15.75" customHeight="1" x14ac:dyDescent="0.3">
      <c r="A59" s="19">
        <v>58</v>
      </c>
      <c r="B59" s="19">
        <v>1</v>
      </c>
      <c r="C59" s="19">
        <v>99</v>
      </c>
      <c r="D59" s="19" t="s">
        <v>79</v>
      </c>
    </row>
    <row r="60" spans="1:4" ht="15.75" customHeight="1" x14ac:dyDescent="0.3">
      <c r="A60" s="19">
        <v>59</v>
      </c>
      <c r="B60" s="19">
        <v>1</v>
      </c>
      <c r="C60" s="19">
        <v>83</v>
      </c>
      <c r="D60" s="19" t="s">
        <v>80</v>
      </c>
    </row>
    <row r="61" spans="1:4" ht="15.75" customHeight="1" x14ac:dyDescent="0.3">
      <c r="A61" s="19">
        <v>60</v>
      </c>
      <c r="B61" s="19">
        <v>1</v>
      </c>
      <c r="C61" s="19">
        <v>87</v>
      </c>
      <c r="D61" s="19" t="s">
        <v>81</v>
      </c>
    </row>
    <row r="62" spans="1:4" ht="15.75" customHeight="1" x14ac:dyDescent="0.3">
      <c r="A62" s="19">
        <v>61</v>
      </c>
      <c r="B62" s="19">
        <v>1</v>
      </c>
      <c r="C62" s="19">
        <v>83</v>
      </c>
      <c r="D62" s="19" t="s">
        <v>82</v>
      </c>
    </row>
    <row r="63" spans="1:4" ht="15.75" customHeight="1" x14ac:dyDescent="0.3">
      <c r="A63" s="19">
        <v>62</v>
      </c>
      <c r="B63" s="19">
        <v>0</v>
      </c>
      <c r="C63" s="19">
        <v>84</v>
      </c>
      <c r="D63" s="19" t="s">
        <v>83</v>
      </c>
    </row>
    <row r="64" spans="1:4" ht="15.75" customHeight="1" x14ac:dyDescent="0.3">
      <c r="A64" s="19">
        <v>63</v>
      </c>
      <c r="B64" s="19">
        <v>1</v>
      </c>
      <c r="C64" s="19">
        <v>78</v>
      </c>
      <c r="D64" s="19" t="s">
        <v>84</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93</v>
      </c>
      <c r="D2" s="19" t="s">
        <v>337</v>
      </c>
    </row>
    <row r="3" spans="1:4" ht="14.4" x14ac:dyDescent="0.3">
      <c r="A3" s="19">
        <v>2</v>
      </c>
      <c r="B3" s="19">
        <v>0</v>
      </c>
      <c r="C3" s="19">
        <v>82</v>
      </c>
      <c r="D3" s="19" t="s">
        <v>338</v>
      </c>
    </row>
    <row r="4" spans="1:4" ht="14.4" x14ac:dyDescent="0.3">
      <c r="A4" s="19">
        <v>3</v>
      </c>
      <c r="B4" s="19">
        <v>1</v>
      </c>
      <c r="C4" s="19">
        <v>99</v>
      </c>
      <c r="D4" s="19" t="s">
        <v>339</v>
      </c>
    </row>
    <row r="5" spans="1:4" ht="14.4" x14ac:dyDescent="0.3">
      <c r="A5" s="19">
        <v>4</v>
      </c>
      <c r="B5" s="19">
        <v>0</v>
      </c>
      <c r="C5" s="19">
        <v>86</v>
      </c>
      <c r="D5" s="19" t="s">
        <v>340</v>
      </c>
    </row>
    <row r="6" spans="1:4" ht="14.4" x14ac:dyDescent="0.3">
      <c r="A6" s="19">
        <v>5</v>
      </c>
      <c r="B6" s="19">
        <v>1</v>
      </c>
      <c r="C6" s="19">
        <v>96</v>
      </c>
      <c r="D6" s="19" t="s">
        <v>341</v>
      </c>
    </row>
    <row r="7" spans="1:4" ht="14.4" x14ac:dyDescent="0.3">
      <c r="A7" s="19">
        <v>6</v>
      </c>
      <c r="B7" s="19">
        <v>1</v>
      </c>
      <c r="C7" s="19">
        <v>97</v>
      </c>
      <c r="D7" s="19" t="s">
        <v>342</v>
      </c>
    </row>
    <row r="8" spans="1:4" ht="14.4" x14ac:dyDescent="0.3">
      <c r="A8" s="19">
        <v>7</v>
      </c>
      <c r="B8" s="19">
        <v>0</v>
      </c>
      <c r="C8" s="19">
        <v>86</v>
      </c>
      <c r="D8" s="19" t="s">
        <v>343</v>
      </c>
    </row>
    <row r="9" spans="1:4" ht="14.4" x14ac:dyDescent="0.3">
      <c r="A9" s="19">
        <v>8</v>
      </c>
      <c r="B9" s="19">
        <v>0</v>
      </c>
      <c r="C9" s="19">
        <v>73</v>
      </c>
      <c r="D9" s="19" t="s">
        <v>344</v>
      </c>
    </row>
    <row r="10" spans="1:4" ht="14.4" x14ac:dyDescent="0.3">
      <c r="A10" s="19">
        <v>9</v>
      </c>
      <c r="B10" s="19">
        <v>0</v>
      </c>
      <c r="C10" s="19">
        <v>63</v>
      </c>
      <c r="D10" s="19" t="s">
        <v>345</v>
      </c>
    </row>
    <row r="11" spans="1:4" ht="14.4" x14ac:dyDescent="0.3">
      <c r="A11" s="19">
        <v>10</v>
      </c>
      <c r="B11" s="19">
        <v>1</v>
      </c>
      <c r="C11" s="19">
        <v>74</v>
      </c>
      <c r="D11" s="19" t="s">
        <v>346</v>
      </c>
    </row>
    <row r="12" spans="1:4" ht="14.4" x14ac:dyDescent="0.3">
      <c r="A12" s="19">
        <v>11</v>
      </c>
      <c r="B12" s="19">
        <v>0</v>
      </c>
      <c r="C12" s="19">
        <v>72</v>
      </c>
      <c r="D12" s="19" t="s">
        <v>347</v>
      </c>
    </row>
    <row r="13" spans="1:4" ht="14.4" x14ac:dyDescent="0.3">
      <c r="A13" s="19">
        <v>12</v>
      </c>
      <c r="B13" s="19">
        <v>0</v>
      </c>
      <c r="C13" s="19">
        <v>74</v>
      </c>
      <c r="D13" s="19" t="s">
        <v>348</v>
      </c>
    </row>
    <row r="14" spans="1:4" ht="14.4" x14ac:dyDescent="0.3">
      <c r="A14" s="19">
        <v>13</v>
      </c>
      <c r="B14" s="19">
        <v>1</v>
      </c>
      <c r="C14" s="19">
        <v>97</v>
      </c>
      <c r="D14" s="19" t="s">
        <v>349</v>
      </c>
    </row>
    <row r="15" spans="1:4" ht="14.4" x14ac:dyDescent="0.3">
      <c r="A15" s="19">
        <v>14</v>
      </c>
      <c r="B15" s="19">
        <v>0</v>
      </c>
      <c r="C15" s="19">
        <v>67</v>
      </c>
      <c r="D15" s="19" t="s">
        <v>350</v>
      </c>
    </row>
    <row r="16" spans="1:4" ht="14.4" x14ac:dyDescent="0.3">
      <c r="A16" s="19">
        <v>15</v>
      </c>
      <c r="B16" s="19">
        <v>0</v>
      </c>
      <c r="C16" s="19">
        <v>78</v>
      </c>
      <c r="D16" s="19" t="s">
        <v>351</v>
      </c>
    </row>
    <row r="17" spans="1:4" ht="14.4" x14ac:dyDescent="0.3">
      <c r="A17" s="19">
        <v>16</v>
      </c>
      <c r="B17" s="19">
        <v>1</v>
      </c>
      <c r="C17" s="19">
        <v>82</v>
      </c>
      <c r="D17" s="19" t="s">
        <v>352</v>
      </c>
    </row>
    <row r="18" spans="1:4" ht="14.4" x14ac:dyDescent="0.3">
      <c r="A18" s="19">
        <v>17</v>
      </c>
      <c r="B18" s="19">
        <v>0</v>
      </c>
      <c r="C18" s="19">
        <v>88</v>
      </c>
      <c r="D18" s="19" t="s">
        <v>353</v>
      </c>
    </row>
    <row r="19" spans="1:4" ht="14.4" x14ac:dyDescent="0.3">
      <c r="A19" s="19">
        <v>18</v>
      </c>
      <c r="B19" s="19">
        <v>1</v>
      </c>
      <c r="C19" s="19">
        <v>88</v>
      </c>
      <c r="D19" s="19" t="s">
        <v>354</v>
      </c>
    </row>
    <row r="20" spans="1:4" ht="14.4" x14ac:dyDescent="0.3">
      <c r="A20" s="19">
        <v>19</v>
      </c>
      <c r="B20" s="19">
        <v>1</v>
      </c>
      <c r="C20" s="19">
        <v>96</v>
      </c>
      <c r="D20" s="19" t="s">
        <v>355</v>
      </c>
    </row>
    <row r="21" spans="1:4" ht="15.75" customHeight="1" x14ac:dyDescent="0.3">
      <c r="A21" s="19">
        <v>20</v>
      </c>
      <c r="B21" s="19">
        <v>1</v>
      </c>
      <c r="C21" s="19">
        <v>86</v>
      </c>
      <c r="D21" s="19" t="s">
        <v>356</v>
      </c>
    </row>
    <row r="22" spans="1:4" ht="15.75" customHeight="1" x14ac:dyDescent="0.3">
      <c r="A22" s="19">
        <v>21</v>
      </c>
      <c r="B22" s="19">
        <v>1</v>
      </c>
      <c r="C22" s="19">
        <v>72</v>
      </c>
      <c r="D22" s="19" t="s">
        <v>357</v>
      </c>
    </row>
    <row r="23" spans="1:4" ht="15.75" customHeight="1" x14ac:dyDescent="0.3">
      <c r="A23" s="19">
        <v>22</v>
      </c>
      <c r="B23" s="19">
        <v>1</v>
      </c>
      <c r="C23" s="19">
        <v>82</v>
      </c>
      <c r="D23" s="19" t="s">
        <v>358</v>
      </c>
    </row>
    <row r="24" spans="1:4" ht="15.75" customHeight="1" x14ac:dyDescent="0.3">
      <c r="A24" s="19">
        <v>23</v>
      </c>
      <c r="B24" s="19">
        <v>1</v>
      </c>
      <c r="C24" s="19">
        <v>82</v>
      </c>
      <c r="D24" s="19" t="s">
        <v>359</v>
      </c>
    </row>
    <row r="25" spans="1:4" ht="15.75" customHeight="1" x14ac:dyDescent="0.3">
      <c r="A25" s="19">
        <v>24</v>
      </c>
      <c r="B25" s="19">
        <v>1</v>
      </c>
      <c r="C25" s="19">
        <v>82</v>
      </c>
      <c r="D25" s="19" t="s">
        <v>360</v>
      </c>
    </row>
    <row r="26" spans="1:4" ht="15.75" customHeight="1" x14ac:dyDescent="0.3">
      <c r="A26" s="19">
        <v>25</v>
      </c>
      <c r="B26" s="19">
        <v>1</v>
      </c>
      <c r="C26" s="19">
        <v>97</v>
      </c>
      <c r="D26" s="19" t="s">
        <v>361</v>
      </c>
    </row>
    <row r="27" spans="1:4" ht="15.75" customHeight="1" x14ac:dyDescent="0.3">
      <c r="A27" s="19">
        <v>26</v>
      </c>
      <c r="B27" s="19">
        <v>1</v>
      </c>
      <c r="C27" s="19">
        <v>96</v>
      </c>
      <c r="D27" s="19" t="s">
        <v>362</v>
      </c>
    </row>
    <row r="28" spans="1:4" ht="15.75" customHeight="1" x14ac:dyDescent="0.3">
      <c r="A28" s="19">
        <v>27</v>
      </c>
      <c r="B28" s="19">
        <v>1</v>
      </c>
      <c r="C28" s="19">
        <v>97</v>
      </c>
      <c r="D28" s="19" t="s">
        <v>363</v>
      </c>
    </row>
    <row r="29" spans="1:4" ht="15.75" customHeight="1" x14ac:dyDescent="0.3">
      <c r="A29" s="19">
        <v>28</v>
      </c>
      <c r="B29" s="19">
        <v>1</v>
      </c>
      <c r="C29" s="19">
        <v>82</v>
      </c>
      <c r="D29" s="19" t="s">
        <v>364</v>
      </c>
    </row>
    <row r="30" spans="1:4" ht="15.75" customHeight="1" x14ac:dyDescent="0.3">
      <c r="A30" s="19">
        <v>29</v>
      </c>
      <c r="B30" s="19">
        <v>0</v>
      </c>
      <c r="C30" s="19">
        <v>63</v>
      </c>
      <c r="D30" s="19" t="s">
        <v>365</v>
      </c>
    </row>
    <row r="31" spans="1:4" ht="15.75" customHeight="1" x14ac:dyDescent="0.3">
      <c r="A31" s="19">
        <v>30</v>
      </c>
      <c r="B31" s="19">
        <v>0</v>
      </c>
      <c r="C31" s="19">
        <v>74</v>
      </c>
      <c r="D31" s="19" t="s">
        <v>366</v>
      </c>
    </row>
    <row r="32" spans="1:4" ht="15.75" customHeight="1" x14ac:dyDescent="0.3">
      <c r="A32" s="19">
        <v>31</v>
      </c>
      <c r="B32" s="19">
        <v>1</v>
      </c>
      <c r="C32" s="19">
        <v>97</v>
      </c>
      <c r="D32" s="19" t="s">
        <v>367</v>
      </c>
    </row>
    <row r="33" spans="1:4" ht="15.75" customHeight="1" x14ac:dyDescent="0.3">
      <c r="A33" s="19">
        <v>32</v>
      </c>
      <c r="B33" s="19">
        <v>0</v>
      </c>
      <c r="C33" s="19">
        <v>88</v>
      </c>
      <c r="D33" s="19" t="s">
        <v>368</v>
      </c>
    </row>
    <row r="34" spans="1:4" ht="15.75" customHeight="1" x14ac:dyDescent="0.3">
      <c r="A34" s="19">
        <v>33</v>
      </c>
      <c r="B34" s="19">
        <v>0</v>
      </c>
      <c r="C34" s="19">
        <v>92</v>
      </c>
      <c r="D34" s="19" t="s">
        <v>369</v>
      </c>
    </row>
    <row r="35" spans="1:4" ht="15.75" customHeight="1" x14ac:dyDescent="0.3">
      <c r="A35" s="19">
        <v>34</v>
      </c>
      <c r="B35" s="19">
        <v>0</v>
      </c>
      <c r="C35" s="19">
        <v>73</v>
      </c>
      <c r="D35" s="19" t="s">
        <v>370</v>
      </c>
    </row>
    <row r="36" spans="1:4" ht="15.75" customHeight="1" x14ac:dyDescent="0.3">
      <c r="A36" s="19">
        <v>35</v>
      </c>
      <c r="B36" s="19">
        <v>0</v>
      </c>
      <c r="C36" s="19">
        <v>82</v>
      </c>
      <c r="D36" s="19" t="s">
        <v>371</v>
      </c>
    </row>
    <row r="37" spans="1:4" ht="15.75" customHeight="1" x14ac:dyDescent="0.3">
      <c r="A37" s="19">
        <v>36</v>
      </c>
      <c r="B37" s="19">
        <v>0</v>
      </c>
      <c r="C37" s="19">
        <v>82</v>
      </c>
      <c r="D37" s="19" t="s">
        <v>372</v>
      </c>
    </row>
    <row r="38" spans="1:4" ht="15.75" customHeight="1" x14ac:dyDescent="0.3">
      <c r="A38" s="19">
        <v>37</v>
      </c>
      <c r="B38" s="19">
        <v>1</v>
      </c>
      <c r="C38" s="19">
        <v>95</v>
      </c>
      <c r="D38" s="19" t="s">
        <v>373</v>
      </c>
    </row>
    <row r="39" spans="1:4" ht="15.75" customHeight="1" x14ac:dyDescent="0.3">
      <c r="A39" s="19">
        <v>38</v>
      </c>
      <c r="B39" s="19">
        <v>0</v>
      </c>
      <c r="C39" s="19">
        <v>92</v>
      </c>
      <c r="D39" s="19" t="s">
        <v>374</v>
      </c>
    </row>
    <row r="40" spans="1:4" ht="15.75" customHeight="1" x14ac:dyDescent="0.3">
      <c r="A40" s="19">
        <v>39</v>
      </c>
      <c r="B40" s="19">
        <v>1</v>
      </c>
      <c r="C40" s="19">
        <v>97</v>
      </c>
      <c r="D40" s="19" t="s">
        <v>375</v>
      </c>
    </row>
    <row r="41" spans="1:4" ht="15.75" customHeight="1" x14ac:dyDescent="0.3">
      <c r="A41" s="19">
        <v>40</v>
      </c>
      <c r="B41" s="19">
        <v>1</v>
      </c>
      <c r="C41" s="19">
        <v>90</v>
      </c>
      <c r="D41" s="19" t="s">
        <v>376</v>
      </c>
    </row>
    <row r="42" spans="1:4" ht="15.75" customHeight="1" x14ac:dyDescent="0.3">
      <c r="A42" s="19">
        <v>41</v>
      </c>
      <c r="B42" s="19">
        <v>1</v>
      </c>
      <c r="C42" s="19">
        <v>78</v>
      </c>
      <c r="D42" s="19" t="s">
        <v>377</v>
      </c>
    </row>
    <row r="43" spans="1:4" ht="15.75" customHeight="1" x14ac:dyDescent="0.3">
      <c r="A43" s="19">
        <v>42</v>
      </c>
      <c r="B43" s="19">
        <v>0</v>
      </c>
      <c r="C43" s="19">
        <v>72</v>
      </c>
      <c r="D43" s="19" t="s">
        <v>378</v>
      </c>
    </row>
    <row r="44" spans="1:4" ht="15.75" customHeight="1" x14ac:dyDescent="0.3">
      <c r="A44" s="19">
        <v>43</v>
      </c>
      <c r="B44" s="19">
        <v>0</v>
      </c>
      <c r="C44" s="19">
        <v>88</v>
      </c>
      <c r="D44" s="19" t="s">
        <v>379</v>
      </c>
    </row>
    <row r="45" spans="1:4" ht="15.75" customHeight="1" x14ac:dyDescent="0.3">
      <c r="A45" s="19">
        <v>44</v>
      </c>
      <c r="B45" s="19">
        <v>0</v>
      </c>
      <c r="C45" s="19">
        <v>78</v>
      </c>
      <c r="D45" s="19" t="s">
        <v>380</v>
      </c>
    </row>
    <row r="46" spans="1:4" ht="15.75" customHeight="1" x14ac:dyDescent="0.3">
      <c r="A46" s="19">
        <v>45</v>
      </c>
      <c r="B46" s="19">
        <v>0</v>
      </c>
      <c r="C46" s="19">
        <v>63</v>
      </c>
      <c r="D46" s="19" t="s">
        <v>381</v>
      </c>
    </row>
    <row r="47" spans="1:4" ht="15.75" customHeight="1" x14ac:dyDescent="0.3">
      <c r="A47" s="19">
        <v>46</v>
      </c>
      <c r="B47" s="19">
        <v>0</v>
      </c>
      <c r="C47" s="19">
        <v>78</v>
      </c>
      <c r="D47" s="19" t="s">
        <v>382</v>
      </c>
    </row>
    <row r="48" spans="1:4" ht="15.75" customHeight="1" x14ac:dyDescent="0.3">
      <c r="A48" s="19">
        <v>47</v>
      </c>
      <c r="B48" s="19">
        <v>1</v>
      </c>
      <c r="C48" s="19">
        <v>98</v>
      </c>
      <c r="D48" s="19" t="s">
        <v>383</v>
      </c>
    </row>
    <row r="49" spans="1:4" ht="15.75" customHeight="1" x14ac:dyDescent="0.3">
      <c r="A49" s="19">
        <v>48</v>
      </c>
      <c r="B49" s="19">
        <v>0</v>
      </c>
      <c r="C49" s="19">
        <v>73</v>
      </c>
      <c r="D49" s="19" t="s">
        <v>384</v>
      </c>
    </row>
    <row r="50" spans="1:4" ht="15.75" customHeight="1" x14ac:dyDescent="0.3">
      <c r="A50" s="19">
        <v>49</v>
      </c>
      <c r="B50" s="19">
        <v>1</v>
      </c>
      <c r="C50" s="19">
        <v>98</v>
      </c>
      <c r="D50" s="19" t="s">
        <v>385</v>
      </c>
    </row>
    <row r="51" spans="1:4" ht="15.75" customHeight="1" x14ac:dyDescent="0.3">
      <c r="A51" s="19">
        <v>50</v>
      </c>
      <c r="B51" s="19">
        <v>1</v>
      </c>
      <c r="C51" s="19">
        <v>74</v>
      </c>
      <c r="D51" s="19" t="s">
        <v>386</v>
      </c>
    </row>
    <row r="52" spans="1:4" ht="15.75" customHeight="1" x14ac:dyDescent="0.3">
      <c r="A52" s="19">
        <v>51</v>
      </c>
      <c r="B52" s="19">
        <v>1</v>
      </c>
      <c r="C52" s="19">
        <v>96</v>
      </c>
      <c r="D52" s="19" t="s">
        <v>387</v>
      </c>
    </row>
    <row r="53" spans="1:4" ht="15.75" customHeight="1" x14ac:dyDescent="0.3">
      <c r="A53" s="19">
        <v>52</v>
      </c>
      <c r="B53" s="19">
        <v>0</v>
      </c>
      <c r="C53" s="19">
        <v>87</v>
      </c>
      <c r="D53" s="19" t="s">
        <v>388</v>
      </c>
    </row>
    <row r="54" spans="1:4" ht="15.75" customHeight="1" x14ac:dyDescent="0.3">
      <c r="A54" s="19">
        <v>53</v>
      </c>
      <c r="B54" s="19">
        <v>0</v>
      </c>
      <c r="C54" s="19">
        <v>88</v>
      </c>
      <c r="D54" s="19" t="s">
        <v>389</v>
      </c>
    </row>
    <row r="55" spans="1:4" ht="15.75" customHeight="1" x14ac:dyDescent="0.3">
      <c r="A55" s="19">
        <v>54</v>
      </c>
      <c r="B55" s="19">
        <v>0</v>
      </c>
      <c r="C55" s="19">
        <v>77</v>
      </c>
      <c r="D55" s="19" t="s">
        <v>390</v>
      </c>
    </row>
    <row r="56" spans="1:4" ht="15.75" customHeight="1" x14ac:dyDescent="0.3">
      <c r="A56" s="19">
        <v>55</v>
      </c>
      <c r="B56" s="19">
        <v>1</v>
      </c>
      <c r="C56" s="19">
        <v>99</v>
      </c>
      <c r="D56" s="19" t="s">
        <v>391</v>
      </c>
    </row>
    <row r="57" spans="1:4" ht="15.75" customHeight="1" x14ac:dyDescent="0.3">
      <c r="A57" s="19">
        <v>56</v>
      </c>
      <c r="B57" s="19">
        <v>0</v>
      </c>
      <c r="C57" s="19">
        <v>95</v>
      </c>
      <c r="D57" s="19" t="s">
        <v>392</v>
      </c>
    </row>
    <row r="58" spans="1:4" ht="15.75" customHeight="1" x14ac:dyDescent="0.3">
      <c r="A58" s="19">
        <v>57</v>
      </c>
      <c r="B58" s="19">
        <v>1</v>
      </c>
      <c r="C58" s="19">
        <v>92</v>
      </c>
      <c r="D58" s="19" t="s">
        <v>393</v>
      </c>
    </row>
    <row r="59" spans="1:4" ht="15.75" customHeight="1" x14ac:dyDescent="0.3">
      <c r="A59" s="19">
        <v>58</v>
      </c>
      <c r="B59" s="19">
        <v>1</v>
      </c>
      <c r="C59" s="19">
        <v>97</v>
      </c>
      <c r="D59" s="19" t="s">
        <v>394</v>
      </c>
    </row>
    <row r="60" spans="1:4" ht="15.75" customHeight="1" x14ac:dyDescent="0.3">
      <c r="A60" s="19">
        <v>59</v>
      </c>
      <c r="B60" s="19">
        <v>1</v>
      </c>
      <c r="C60" s="19">
        <v>77</v>
      </c>
      <c r="D60" s="19" t="s">
        <v>395</v>
      </c>
    </row>
    <row r="61" spans="1:4" ht="15.75" customHeight="1" x14ac:dyDescent="0.3">
      <c r="A61" s="19">
        <v>60</v>
      </c>
      <c r="B61" s="19">
        <v>1</v>
      </c>
      <c r="C61" s="19">
        <v>83</v>
      </c>
      <c r="D61" s="19" t="s">
        <v>396</v>
      </c>
    </row>
    <row r="62" spans="1:4" ht="15.75" customHeight="1" x14ac:dyDescent="0.3">
      <c r="A62" s="19">
        <v>61</v>
      </c>
      <c r="B62" s="19">
        <v>1</v>
      </c>
      <c r="C62" s="19">
        <v>78</v>
      </c>
      <c r="D62" s="19" t="s">
        <v>397</v>
      </c>
    </row>
    <row r="63" spans="1:4" ht="15.75" customHeight="1" x14ac:dyDescent="0.3">
      <c r="A63" s="19">
        <v>62</v>
      </c>
      <c r="B63" s="19">
        <v>0</v>
      </c>
      <c r="C63" s="19">
        <v>86</v>
      </c>
      <c r="D63" s="19" t="s">
        <v>398</v>
      </c>
    </row>
    <row r="64" spans="1:4" ht="15.75" customHeight="1" x14ac:dyDescent="0.3">
      <c r="A64" s="19">
        <v>63</v>
      </c>
      <c r="B64" s="19">
        <v>1</v>
      </c>
      <c r="C64" s="19">
        <v>78</v>
      </c>
      <c r="D64" s="19" t="s">
        <v>399</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96</v>
      </c>
      <c r="D2" s="19" t="s">
        <v>400</v>
      </c>
    </row>
    <row r="3" spans="1:4" ht="14.4" x14ac:dyDescent="0.3">
      <c r="A3" s="19">
        <v>2</v>
      </c>
      <c r="B3" s="19">
        <v>0</v>
      </c>
      <c r="C3" s="19">
        <v>78</v>
      </c>
      <c r="D3" s="19" t="s">
        <v>401</v>
      </c>
    </row>
    <row r="4" spans="1:4" ht="14.4" x14ac:dyDescent="0.3">
      <c r="A4" s="19">
        <v>3</v>
      </c>
      <c r="B4" s="19">
        <v>1</v>
      </c>
      <c r="C4" s="19">
        <v>99</v>
      </c>
      <c r="D4" s="19" t="s">
        <v>402</v>
      </c>
    </row>
    <row r="5" spans="1:4" ht="14.4" x14ac:dyDescent="0.3">
      <c r="A5" s="19">
        <v>4</v>
      </c>
      <c r="B5" s="19">
        <v>0</v>
      </c>
      <c r="C5" s="19">
        <v>92</v>
      </c>
      <c r="D5" s="19" t="s">
        <v>403</v>
      </c>
    </row>
    <row r="6" spans="1:4" ht="14.4" x14ac:dyDescent="0.3">
      <c r="A6" s="19">
        <v>5</v>
      </c>
      <c r="B6" s="19">
        <v>1</v>
      </c>
      <c r="C6" s="19">
        <v>96</v>
      </c>
      <c r="D6" s="19" t="s">
        <v>404</v>
      </c>
    </row>
    <row r="7" spans="1:4" ht="14.4" x14ac:dyDescent="0.3">
      <c r="A7" s="19">
        <v>6</v>
      </c>
      <c r="B7" s="19">
        <v>1</v>
      </c>
      <c r="C7" s="19">
        <v>97</v>
      </c>
      <c r="D7" s="19" t="s">
        <v>405</v>
      </c>
    </row>
    <row r="8" spans="1:4" ht="14.4" x14ac:dyDescent="0.3">
      <c r="A8" s="19">
        <v>7</v>
      </c>
      <c r="B8" s="19">
        <v>0</v>
      </c>
      <c r="C8" s="19">
        <v>91</v>
      </c>
      <c r="D8" s="19" t="s">
        <v>406</v>
      </c>
    </row>
    <row r="9" spans="1:4" ht="14.4" x14ac:dyDescent="0.3">
      <c r="A9" s="19">
        <v>8</v>
      </c>
      <c r="B9" s="19">
        <v>0</v>
      </c>
      <c r="C9" s="19">
        <v>72</v>
      </c>
      <c r="D9" s="19" t="s">
        <v>407</v>
      </c>
    </row>
    <row r="10" spans="1:4" ht="14.4" x14ac:dyDescent="0.3">
      <c r="A10" s="19">
        <v>9</v>
      </c>
      <c r="B10" s="19">
        <v>1</v>
      </c>
      <c r="C10" s="19">
        <v>82</v>
      </c>
      <c r="D10" s="19" t="s">
        <v>408</v>
      </c>
    </row>
    <row r="11" spans="1:4" ht="14.4" x14ac:dyDescent="0.3">
      <c r="A11" s="19">
        <v>10</v>
      </c>
      <c r="B11" s="19">
        <v>1</v>
      </c>
      <c r="C11" s="19">
        <v>74</v>
      </c>
      <c r="D11" s="19" t="s">
        <v>409</v>
      </c>
    </row>
    <row r="12" spans="1:4" ht="14.4" x14ac:dyDescent="0.3">
      <c r="A12" s="19">
        <v>11</v>
      </c>
      <c r="B12" s="19">
        <v>0</v>
      </c>
      <c r="C12" s="19">
        <v>62</v>
      </c>
      <c r="D12" s="19" t="s">
        <v>410</v>
      </c>
    </row>
    <row r="13" spans="1:4" ht="14.4" x14ac:dyDescent="0.3">
      <c r="A13" s="19">
        <v>12</v>
      </c>
      <c r="B13" s="19">
        <v>0</v>
      </c>
      <c r="C13" s="19">
        <v>76</v>
      </c>
      <c r="D13" s="19" t="s">
        <v>411</v>
      </c>
    </row>
    <row r="14" spans="1:4" ht="14.4" x14ac:dyDescent="0.3">
      <c r="A14" s="19">
        <v>13</v>
      </c>
      <c r="B14" s="19">
        <v>1</v>
      </c>
      <c r="C14" s="19">
        <v>97</v>
      </c>
      <c r="D14" s="19" t="s">
        <v>412</v>
      </c>
    </row>
    <row r="15" spans="1:4" ht="14.4" x14ac:dyDescent="0.3">
      <c r="A15" s="19">
        <v>14</v>
      </c>
      <c r="B15" s="19">
        <v>0</v>
      </c>
      <c r="C15" s="19">
        <v>72</v>
      </c>
      <c r="D15" s="19" t="s">
        <v>413</v>
      </c>
    </row>
    <row r="16" spans="1:4" ht="14.4" x14ac:dyDescent="0.3">
      <c r="A16" s="19">
        <v>15</v>
      </c>
      <c r="B16" s="19">
        <v>0</v>
      </c>
      <c r="C16" s="19">
        <v>78</v>
      </c>
      <c r="D16" s="19" t="s">
        <v>414</v>
      </c>
    </row>
    <row r="17" spans="1:4" ht="14.4" x14ac:dyDescent="0.3">
      <c r="A17" s="19">
        <v>16</v>
      </c>
      <c r="B17" s="19">
        <v>1</v>
      </c>
      <c r="C17" s="19">
        <v>84</v>
      </c>
      <c r="D17" s="19" t="s">
        <v>415</v>
      </c>
    </row>
    <row r="18" spans="1:4" ht="14.4" x14ac:dyDescent="0.3">
      <c r="A18" s="19">
        <v>17</v>
      </c>
      <c r="B18" s="19">
        <v>0</v>
      </c>
      <c r="C18" s="19">
        <v>84</v>
      </c>
      <c r="D18" s="19" t="s">
        <v>416</v>
      </c>
    </row>
    <row r="19" spans="1:4" ht="14.4" x14ac:dyDescent="0.3">
      <c r="A19" s="19">
        <v>18</v>
      </c>
      <c r="B19" s="19">
        <v>1</v>
      </c>
      <c r="C19" s="19">
        <v>93</v>
      </c>
      <c r="D19" s="19" t="s">
        <v>417</v>
      </c>
    </row>
    <row r="20" spans="1:4" ht="14.4" x14ac:dyDescent="0.3">
      <c r="A20" s="19">
        <v>19</v>
      </c>
      <c r="B20" s="19">
        <v>1</v>
      </c>
      <c r="C20" s="19">
        <v>97</v>
      </c>
      <c r="D20" s="19" t="s">
        <v>418</v>
      </c>
    </row>
    <row r="21" spans="1:4" ht="15.75" customHeight="1" x14ac:dyDescent="0.3">
      <c r="A21" s="19">
        <v>20</v>
      </c>
      <c r="B21" s="19">
        <v>1</v>
      </c>
      <c r="C21" s="19">
        <v>88</v>
      </c>
      <c r="D21" s="19" t="s">
        <v>419</v>
      </c>
    </row>
    <row r="22" spans="1:4" ht="15.75" customHeight="1" x14ac:dyDescent="0.3">
      <c r="A22" s="19">
        <v>21</v>
      </c>
      <c r="B22" s="19">
        <v>1</v>
      </c>
      <c r="C22" s="19">
        <v>78</v>
      </c>
      <c r="D22" s="19" t="s">
        <v>420</v>
      </c>
    </row>
    <row r="23" spans="1:4" ht="15.75" customHeight="1" x14ac:dyDescent="0.3">
      <c r="A23" s="19">
        <v>22</v>
      </c>
      <c r="B23" s="19">
        <v>1</v>
      </c>
      <c r="C23" s="19">
        <v>78</v>
      </c>
      <c r="D23" s="19" t="s">
        <v>421</v>
      </c>
    </row>
    <row r="24" spans="1:4" ht="15.75" customHeight="1" x14ac:dyDescent="0.3">
      <c r="A24" s="19">
        <v>23</v>
      </c>
      <c r="B24" s="19">
        <v>1</v>
      </c>
      <c r="C24" s="19">
        <v>78</v>
      </c>
      <c r="D24" s="19" t="s">
        <v>422</v>
      </c>
    </row>
    <row r="25" spans="1:4" ht="15.75" customHeight="1" x14ac:dyDescent="0.3">
      <c r="A25" s="19">
        <v>24</v>
      </c>
      <c r="B25" s="19">
        <v>1</v>
      </c>
      <c r="C25" s="19">
        <v>82</v>
      </c>
      <c r="D25" s="19" t="s">
        <v>423</v>
      </c>
    </row>
    <row r="26" spans="1:4" ht="15.75" customHeight="1" x14ac:dyDescent="0.3">
      <c r="A26" s="19">
        <v>25</v>
      </c>
      <c r="B26" s="19">
        <v>1</v>
      </c>
      <c r="C26" s="19">
        <v>97</v>
      </c>
      <c r="D26" s="19" t="s">
        <v>424</v>
      </c>
    </row>
    <row r="27" spans="1:4" ht="15.75" customHeight="1" x14ac:dyDescent="0.3">
      <c r="A27" s="19">
        <v>26</v>
      </c>
      <c r="B27" s="19">
        <v>1</v>
      </c>
      <c r="C27" s="19">
        <v>95</v>
      </c>
      <c r="D27" s="19" t="s">
        <v>425</v>
      </c>
    </row>
    <row r="28" spans="1:4" ht="15.75" customHeight="1" x14ac:dyDescent="0.3">
      <c r="A28" s="19">
        <v>27</v>
      </c>
      <c r="B28" s="19">
        <v>1</v>
      </c>
      <c r="C28" s="19">
        <v>96</v>
      </c>
      <c r="D28" s="19" t="s">
        <v>426</v>
      </c>
    </row>
    <row r="29" spans="1:4" ht="15.75" customHeight="1" x14ac:dyDescent="0.3">
      <c r="A29" s="19">
        <v>28</v>
      </c>
      <c r="B29" s="19">
        <v>1</v>
      </c>
      <c r="C29" s="19">
        <v>86</v>
      </c>
      <c r="D29" s="19" t="s">
        <v>427</v>
      </c>
    </row>
    <row r="30" spans="1:4" ht="15.75" customHeight="1" x14ac:dyDescent="0.3">
      <c r="A30" s="19">
        <v>29</v>
      </c>
      <c r="B30" s="19">
        <v>1</v>
      </c>
      <c r="C30" s="19">
        <v>78</v>
      </c>
      <c r="D30" s="19" t="s">
        <v>428</v>
      </c>
    </row>
    <row r="31" spans="1:4" ht="15.75" customHeight="1" x14ac:dyDescent="0.3">
      <c r="A31" s="19">
        <v>30</v>
      </c>
      <c r="B31" s="19">
        <v>0</v>
      </c>
      <c r="C31" s="19">
        <v>78</v>
      </c>
      <c r="D31" s="19" t="s">
        <v>429</v>
      </c>
    </row>
    <row r="32" spans="1:4" ht="15.75" customHeight="1" x14ac:dyDescent="0.3">
      <c r="A32" s="19">
        <v>31</v>
      </c>
      <c r="B32" s="19">
        <v>1</v>
      </c>
      <c r="C32" s="19">
        <v>98</v>
      </c>
      <c r="D32" s="19" t="s">
        <v>430</v>
      </c>
    </row>
    <row r="33" spans="1:4" ht="15.75" customHeight="1" x14ac:dyDescent="0.3">
      <c r="A33" s="19">
        <v>32</v>
      </c>
      <c r="B33" s="19">
        <v>0</v>
      </c>
      <c r="C33" s="19">
        <v>92</v>
      </c>
      <c r="D33" s="19" t="s">
        <v>431</v>
      </c>
    </row>
    <row r="34" spans="1:4" ht="15.75" customHeight="1" x14ac:dyDescent="0.3">
      <c r="A34" s="19">
        <v>33</v>
      </c>
      <c r="B34" s="19">
        <v>0</v>
      </c>
      <c r="C34" s="19">
        <v>92</v>
      </c>
      <c r="D34" s="19" t="s">
        <v>432</v>
      </c>
    </row>
    <row r="35" spans="1:4" ht="15.75" customHeight="1" x14ac:dyDescent="0.3">
      <c r="A35" s="19">
        <v>34</v>
      </c>
      <c r="B35" s="19">
        <v>0</v>
      </c>
      <c r="C35" s="19">
        <v>78</v>
      </c>
      <c r="D35" s="19" t="s">
        <v>433</v>
      </c>
    </row>
    <row r="36" spans="1:4" ht="15.75" customHeight="1" x14ac:dyDescent="0.3">
      <c r="A36" s="19">
        <v>35</v>
      </c>
      <c r="B36" s="19">
        <v>0</v>
      </c>
      <c r="C36" s="19">
        <v>86</v>
      </c>
      <c r="D36" s="19" t="s">
        <v>434</v>
      </c>
    </row>
    <row r="37" spans="1:4" ht="15.75" customHeight="1" x14ac:dyDescent="0.3">
      <c r="A37" s="19">
        <v>36</v>
      </c>
      <c r="B37" s="19">
        <v>0</v>
      </c>
      <c r="C37" s="19">
        <v>86</v>
      </c>
      <c r="D37" s="19" t="s">
        <v>435</v>
      </c>
    </row>
    <row r="38" spans="1:4" ht="15.75" customHeight="1" x14ac:dyDescent="0.3">
      <c r="A38" s="19">
        <v>37</v>
      </c>
      <c r="B38" s="19">
        <v>1</v>
      </c>
      <c r="C38" s="19">
        <v>94</v>
      </c>
      <c r="D38" s="19" t="s">
        <v>436</v>
      </c>
    </row>
    <row r="39" spans="1:4" ht="15.75" customHeight="1" x14ac:dyDescent="0.3">
      <c r="A39" s="19">
        <v>38</v>
      </c>
      <c r="B39" s="19">
        <v>0</v>
      </c>
      <c r="C39" s="19">
        <v>87</v>
      </c>
      <c r="D39" s="19" t="s">
        <v>437</v>
      </c>
    </row>
    <row r="40" spans="1:4" ht="15.75" customHeight="1" x14ac:dyDescent="0.3">
      <c r="A40" s="19">
        <v>39</v>
      </c>
      <c r="B40" s="19">
        <v>1</v>
      </c>
      <c r="C40" s="19">
        <v>98</v>
      </c>
      <c r="D40" s="19" t="s">
        <v>438</v>
      </c>
    </row>
    <row r="41" spans="1:4" ht="15.75" customHeight="1" x14ac:dyDescent="0.3">
      <c r="A41" s="19">
        <v>40</v>
      </c>
      <c r="B41" s="19">
        <v>1</v>
      </c>
      <c r="C41" s="19">
        <v>93</v>
      </c>
      <c r="D41" s="19" t="s">
        <v>439</v>
      </c>
    </row>
    <row r="42" spans="1:4" ht="15.75" customHeight="1" x14ac:dyDescent="0.3">
      <c r="A42" s="19">
        <v>41</v>
      </c>
      <c r="B42" s="19">
        <v>1</v>
      </c>
      <c r="C42" s="19">
        <v>87</v>
      </c>
      <c r="D42" s="19" t="s">
        <v>440</v>
      </c>
    </row>
    <row r="43" spans="1:4" ht="15.75" customHeight="1" x14ac:dyDescent="0.3">
      <c r="A43" s="19">
        <v>42</v>
      </c>
      <c r="B43" s="19">
        <v>0</v>
      </c>
      <c r="C43" s="19">
        <v>78</v>
      </c>
      <c r="D43" s="19" t="s">
        <v>441</v>
      </c>
    </row>
    <row r="44" spans="1:4" ht="15.75" customHeight="1" x14ac:dyDescent="0.3">
      <c r="A44" s="19">
        <v>43</v>
      </c>
      <c r="B44" s="19">
        <v>0</v>
      </c>
      <c r="C44" s="19">
        <v>86</v>
      </c>
      <c r="D44" s="19" t="s">
        <v>442</v>
      </c>
    </row>
    <row r="45" spans="1:4" ht="15.75" customHeight="1" x14ac:dyDescent="0.3">
      <c r="A45" s="19">
        <v>44</v>
      </c>
      <c r="B45" s="19">
        <v>0</v>
      </c>
      <c r="C45" s="19">
        <v>83</v>
      </c>
      <c r="D45" s="19" t="s">
        <v>443</v>
      </c>
    </row>
    <row r="46" spans="1:4" ht="15.75" customHeight="1" x14ac:dyDescent="0.3">
      <c r="A46" s="19">
        <v>45</v>
      </c>
      <c r="B46" s="19">
        <v>0</v>
      </c>
      <c r="C46" s="19">
        <v>61</v>
      </c>
      <c r="D46" s="19" t="s">
        <v>444</v>
      </c>
    </row>
    <row r="47" spans="1:4" ht="15.75" customHeight="1" x14ac:dyDescent="0.3">
      <c r="A47" s="19">
        <v>46</v>
      </c>
      <c r="B47" s="19">
        <v>0</v>
      </c>
      <c r="C47" s="19">
        <v>83</v>
      </c>
      <c r="D47" s="19" t="s">
        <v>445</v>
      </c>
    </row>
    <row r="48" spans="1:4" ht="15.75" customHeight="1" x14ac:dyDescent="0.3">
      <c r="A48" s="19">
        <v>47</v>
      </c>
      <c r="B48" s="19">
        <v>1</v>
      </c>
      <c r="C48" s="19">
        <v>97</v>
      </c>
      <c r="D48" s="19" t="s">
        <v>446</v>
      </c>
    </row>
    <row r="49" spans="1:4" ht="15.75" customHeight="1" x14ac:dyDescent="0.3">
      <c r="A49" s="19">
        <v>48</v>
      </c>
      <c r="B49" s="19">
        <v>0</v>
      </c>
      <c r="C49" s="19">
        <v>73</v>
      </c>
      <c r="D49" s="19" t="s">
        <v>447</v>
      </c>
    </row>
    <row r="50" spans="1:4" ht="15.75" customHeight="1" x14ac:dyDescent="0.3">
      <c r="A50" s="19">
        <v>49</v>
      </c>
      <c r="B50" s="19">
        <v>1</v>
      </c>
      <c r="C50" s="19">
        <v>98</v>
      </c>
      <c r="D50" s="19" t="s">
        <v>448</v>
      </c>
    </row>
    <row r="51" spans="1:4" ht="15.75" customHeight="1" x14ac:dyDescent="0.3">
      <c r="A51" s="19">
        <v>50</v>
      </c>
      <c r="B51" s="19">
        <v>1</v>
      </c>
      <c r="C51" s="19">
        <v>78</v>
      </c>
      <c r="D51" s="19" t="s">
        <v>449</v>
      </c>
    </row>
    <row r="52" spans="1:4" ht="15.75" customHeight="1" x14ac:dyDescent="0.3">
      <c r="A52" s="19">
        <v>51</v>
      </c>
      <c r="B52" s="19">
        <v>1</v>
      </c>
      <c r="C52" s="19">
        <v>95</v>
      </c>
      <c r="D52" s="19" t="s">
        <v>450</v>
      </c>
    </row>
    <row r="53" spans="1:4" ht="15.75" customHeight="1" x14ac:dyDescent="0.3">
      <c r="A53" s="19">
        <v>52</v>
      </c>
      <c r="B53" s="19">
        <v>0</v>
      </c>
      <c r="C53" s="19">
        <v>92</v>
      </c>
      <c r="D53" s="19" t="s">
        <v>451</v>
      </c>
    </row>
    <row r="54" spans="1:4" ht="15.75" customHeight="1" x14ac:dyDescent="0.3">
      <c r="A54" s="19">
        <v>53</v>
      </c>
      <c r="B54" s="19">
        <v>0</v>
      </c>
      <c r="C54" s="19">
        <v>88</v>
      </c>
      <c r="D54" s="19" t="s">
        <v>452</v>
      </c>
    </row>
    <row r="55" spans="1:4" ht="15.75" customHeight="1" x14ac:dyDescent="0.3">
      <c r="A55" s="19">
        <v>54</v>
      </c>
      <c r="B55" s="19">
        <v>0</v>
      </c>
      <c r="C55" s="19">
        <v>74</v>
      </c>
      <c r="D55" s="19" t="s">
        <v>453</v>
      </c>
    </row>
    <row r="56" spans="1:4" ht="15.75" customHeight="1" x14ac:dyDescent="0.3">
      <c r="A56" s="19">
        <v>55</v>
      </c>
      <c r="B56" s="19">
        <v>1</v>
      </c>
      <c r="C56" s="19">
        <v>99</v>
      </c>
      <c r="D56" s="19" t="s">
        <v>454</v>
      </c>
    </row>
    <row r="57" spans="1:4" ht="15.75" customHeight="1" x14ac:dyDescent="0.3">
      <c r="A57" s="19">
        <v>56</v>
      </c>
      <c r="B57" s="19">
        <v>0</v>
      </c>
      <c r="C57" s="19">
        <v>92</v>
      </c>
      <c r="D57" s="19" t="s">
        <v>455</v>
      </c>
    </row>
    <row r="58" spans="1:4" ht="15.75" customHeight="1" x14ac:dyDescent="0.3">
      <c r="A58" s="19">
        <v>57</v>
      </c>
      <c r="B58" s="19">
        <v>1</v>
      </c>
      <c r="C58" s="19">
        <v>96</v>
      </c>
      <c r="D58" s="19" t="s">
        <v>456</v>
      </c>
    </row>
    <row r="59" spans="1:4" ht="15.75" customHeight="1" x14ac:dyDescent="0.3">
      <c r="A59" s="19">
        <v>58</v>
      </c>
      <c r="B59" s="19">
        <v>1</v>
      </c>
      <c r="C59" s="19">
        <v>98</v>
      </c>
      <c r="D59" s="19" t="s">
        <v>457</v>
      </c>
    </row>
    <row r="60" spans="1:4" ht="15.75" customHeight="1" x14ac:dyDescent="0.3">
      <c r="A60" s="19">
        <v>59</v>
      </c>
      <c r="B60" s="19">
        <v>1</v>
      </c>
      <c r="C60" s="19">
        <v>87</v>
      </c>
      <c r="D60" s="19" t="s">
        <v>458</v>
      </c>
    </row>
    <row r="61" spans="1:4" ht="15.75" customHeight="1" x14ac:dyDescent="0.3">
      <c r="A61" s="19">
        <v>60</v>
      </c>
      <c r="B61" s="19">
        <v>1</v>
      </c>
      <c r="C61" s="19">
        <v>86</v>
      </c>
      <c r="D61" s="19" t="s">
        <v>459</v>
      </c>
    </row>
    <row r="62" spans="1:4" ht="15.75" customHeight="1" x14ac:dyDescent="0.3">
      <c r="A62" s="19">
        <v>61</v>
      </c>
      <c r="B62" s="19">
        <v>1</v>
      </c>
      <c r="C62" s="19">
        <v>78</v>
      </c>
      <c r="D62" s="19" t="s">
        <v>460</v>
      </c>
    </row>
    <row r="63" spans="1:4" ht="15.75" customHeight="1" x14ac:dyDescent="0.3">
      <c r="A63" s="19">
        <v>62</v>
      </c>
      <c r="B63" s="19">
        <v>0</v>
      </c>
      <c r="C63" s="19">
        <v>84</v>
      </c>
      <c r="D63" s="19" t="s">
        <v>461</v>
      </c>
    </row>
    <row r="64" spans="1:4" ht="15.75" customHeight="1" x14ac:dyDescent="0.3">
      <c r="A64" s="19">
        <v>63</v>
      </c>
      <c r="B64" s="19">
        <v>1</v>
      </c>
      <c r="C64" s="19">
        <v>78</v>
      </c>
      <c r="D64" s="19" t="s">
        <v>462</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93</v>
      </c>
      <c r="D2" s="19" t="s">
        <v>463</v>
      </c>
    </row>
    <row r="3" spans="1:4" ht="14.4" x14ac:dyDescent="0.3">
      <c r="A3" s="19">
        <v>2</v>
      </c>
      <c r="B3" s="19">
        <v>0</v>
      </c>
      <c r="C3" s="19">
        <v>78</v>
      </c>
      <c r="D3" s="19" t="s">
        <v>464</v>
      </c>
    </row>
    <row r="4" spans="1:4" ht="14.4" x14ac:dyDescent="0.3">
      <c r="A4" s="19">
        <v>3</v>
      </c>
      <c r="B4" s="19">
        <v>1</v>
      </c>
      <c r="C4" s="19">
        <v>99</v>
      </c>
      <c r="D4" s="19" t="s">
        <v>465</v>
      </c>
    </row>
    <row r="5" spans="1:4" ht="14.4" x14ac:dyDescent="0.3">
      <c r="A5" s="19">
        <v>4</v>
      </c>
      <c r="B5" s="19">
        <v>0</v>
      </c>
      <c r="C5" s="19">
        <v>86</v>
      </c>
      <c r="D5" s="19" t="s">
        <v>466</v>
      </c>
    </row>
    <row r="6" spans="1:4" ht="14.4" x14ac:dyDescent="0.3">
      <c r="A6" s="19">
        <v>5</v>
      </c>
      <c r="B6" s="19">
        <v>1</v>
      </c>
      <c r="C6" s="19">
        <v>97</v>
      </c>
      <c r="D6" s="19" t="s">
        <v>467</v>
      </c>
    </row>
    <row r="7" spans="1:4" ht="14.4" x14ac:dyDescent="0.3">
      <c r="A7" s="19">
        <v>6</v>
      </c>
      <c r="B7" s="19">
        <v>1</v>
      </c>
      <c r="C7" s="19">
        <v>96</v>
      </c>
      <c r="D7" s="19" t="s">
        <v>468</v>
      </c>
    </row>
    <row r="8" spans="1:4" ht="14.4" x14ac:dyDescent="0.3">
      <c r="A8" s="19">
        <v>7</v>
      </c>
      <c r="B8" s="19">
        <v>0</v>
      </c>
      <c r="C8" s="19">
        <v>92</v>
      </c>
      <c r="D8" s="19" t="s">
        <v>469</v>
      </c>
    </row>
    <row r="9" spans="1:4" ht="14.4" x14ac:dyDescent="0.3">
      <c r="A9" s="19">
        <v>8</v>
      </c>
      <c r="B9" s="19">
        <v>0</v>
      </c>
      <c r="C9" s="19">
        <v>72</v>
      </c>
      <c r="D9" s="19" t="s">
        <v>470</v>
      </c>
    </row>
    <row r="10" spans="1:4" ht="14.4" x14ac:dyDescent="0.3">
      <c r="A10" s="19">
        <v>9</v>
      </c>
      <c r="B10" s="19">
        <v>1</v>
      </c>
      <c r="C10" s="19">
        <v>78</v>
      </c>
      <c r="D10" s="19" t="s">
        <v>471</v>
      </c>
    </row>
    <row r="11" spans="1:4" ht="14.4" x14ac:dyDescent="0.3">
      <c r="A11" s="19">
        <v>10</v>
      </c>
      <c r="B11" s="19">
        <v>0</v>
      </c>
      <c r="C11" s="19">
        <v>63</v>
      </c>
      <c r="D11" s="19" t="s">
        <v>472</v>
      </c>
    </row>
    <row r="12" spans="1:4" ht="14.4" x14ac:dyDescent="0.3">
      <c r="A12" s="19">
        <v>11</v>
      </c>
      <c r="B12" s="19">
        <v>0</v>
      </c>
      <c r="C12" s="19">
        <v>73</v>
      </c>
      <c r="D12" s="19" t="s">
        <v>473</v>
      </c>
    </row>
    <row r="13" spans="1:4" ht="14.4" x14ac:dyDescent="0.3">
      <c r="A13" s="19">
        <v>12</v>
      </c>
      <c r="B13" s="19">
        <v>0</v>
      </c>
      <c r="C13" s="19">
        <v>78</v>
      </c>
      <c r="D13" s="19" t="s">
        <v>474</v>
      </c>
    </row>
    <row r="14" spans="1:4" ht="14.4" x14ac:dyDescent="0.3">
      <c r="A14" s="19">
        <v>13</v>
      </c>
      <c r="B14" s="19">
        <v>1</v>
      </c>
      <c r="C14" s="19">
        <v>97</v>
      </c>
      <c r="D14" s="19" t="s">
        <v>475</v>
      </c>
    </row>
    <row r="15" spans="1:4" ht="14.4" x14ac:dyDescent="0.3">
      <c r="A15" s="19">
        <v>14</v>
      </c>
      <c r="B15" s="19">
        <v>0</v>
      </c>
      <c r="C15" s="19">
        <v>66</v>
      </c>
      <c r="D15" s="19" t="s">
        <v>476</v>
      </c>
    </row>
    <row r="16" spans="1:4" ht="14.4" x14ac:dyDescent="0.3">
      <c r="A16" s="19">
        <v>15</v>
      </c>
      <c r="B16" s="19">
        <v>0</v>
      </c>
      <c r="C16" s="19">
        <v>77</v>
      </c>
      <c r="D16" s="19" t="s">
        <v>477</v>
      </c>
    </row>
    <row r="17" spans="1:4" ht="14.4" x14ac:dyDescent="0.3">
      <c r="A17" s="19">
        <v>16</v>
      </c>
      <c r="B17" s="19">
        <v>1</v>
      </c>
      <c r="C17" s="19">
        <v>86</v>
      </c>
      <c r="D17" s="19" t="s">
        <v>478</v>
      </c>
    </row>
    <row r="18" spans="1:4" ht="14.4" x14ac:dyDescent="0.3">
      <c r="A18" s="19">
        <v>17</v>
      </c>
      <c r="B18" s="19">
        <v>0</v>
      </c>
      <c r="C18" s="19">
        <v>87</v>
      </c>
      <c r="D18" s="19" t="s">
        <v>479</v>
      </c>
    </row>
    <row r="19" spans="1:4" ht="14.4" x14ac:dyDescent="0.3">
      <c r="A19" s="19">
        <v>18</v>
      </c>
      <c r="B19" s="19">
        <v>1</v>
      </c>
      <c r="C19" s="19">
        <v>93</v>
      </c>
      <c r="D19" s="19" t="s">
        <v>480</v>
      </c>
    </row>
    <row r="20" spans="1:4" ht="14.4" x14ac:dyDescent="0.3">
      <c r="A20" s="19">
        <v>19</v>
      </c>
      <c r="B20" s="19">
        <v>1</v>
      </c>
      <c r="C20" s="19">
        <v>97</v>
      </c>
      <c r="D20" s="19" t="s">
        <v>481</v>
      </c>
    </row>
    <row r="21" spans="1:4" ht="15.75" customHeight="1" x14ac:dyDescent="0.3">
      <c r="A21" s="19">
        <v>20</v>
      </c>
      <c r="B21" s="19">
        <v>1</v>
      </c>
      <c r="C21" s="19">
        <v>88</v>
      </c>
      <c r="D21" s="19" t="s">
        <v>482</v>
      </c>
    </row>
    <row r="22" spans="1:4" ht="15.75" customHeight="1" x14ac:dyDescent="0.3">
      <c r="A22" s="19">
        <v>21</v>
      </c>
      <c r="B22" s="19">
        <v>1</v>
      </c>
      <c r="C22" s="19">
        <v>74</v>
      </c>
      <c r="D22" s="19" t="s">
        <v>483</v>
      </c>
    </row>
    <row r="23" spans="1:4" ht="15.75" customHeight="1" x14ac:dyDescent="0.3">
      <c r="A23" s="19">
        <v>22</v>
      </c>
      <c r="B23" s="19">
        <v>1</v>
      </c>
      <c r="C23" s="19">
        <v>78</v>
      </c>
      <c r="D23" s="19" t="s">
        <v>484</v>
      </c>
    </row>
    <row r="24" spans="1:4" ht="15.75" customHeight="1" x14ac:dyDescent="0.3">
      <c r="A24" s="19">
        <v>23</v>
      </c>
      <c r="B24" s="19">
        <v>1</v>
      </c>
      <c r="C24" s="19">
        <v>88</v>
      </c>
      <c r="D24" s="19" t="s">
        <v>485</v>
      </c>
    </row>
    <row r="25" spans="1:4" ht="15.75" customHeight="1" x14ac:dyDescent="0.3">
      <c r="A25" s="19">
        <v>24</v>
      </c>
      <c r="B25" s="19">
        <v>1</v>
      </c>
      <c r="C25" s="19">
        <v>86</v>
      </c>
      <c r="D25" s="19" t="s">
        <v>486</v>
      </c>
    </row>
    <row r="26" spans="1:4" ht="15.75" customHeight="1" x14ac:dyDescent="0.3">
      <c r="A26" s="19">
        <v>25</v>
      </c>
      <c r="B26" s="19">
        <v>1</v>
      </c>
      <c r="C26" s="19">
        <v>97</v>
      </c>
      <c r="D26" s="19" t="s">
        <v>487</v>
      </c>
    </row>
    <row r="27" spans="1:4" ht="15.75" customHeight="1" x14ac:dyDescent="0.3">
      <c r="A27" s="19">
        <v>26</v>
      </c>
      <c r="B27" s="19">
        <v>1</v>
      </c>
      <c r="C27" s="19">
        <v>97</v>
      </c>
      <c r="D27" s="19" t="s">
        <v>488</v>
      </c>
    </row>
    <row r="28" spans="1:4" ht="15.75" customHeight="1" x14ac:dyDescent="0.3">
      <c r="A28" s="19">
        <v>27</v>
      </c>
      <c r="B28" s="19">
        <v>1</v>
      </c>
      <c r="C28" s="19">
        <v>96</v>
      </c>
      <c r="D28" s="19" t="s">
        <v>489</v>
      </c>
    </row>
    <row r="29" spans="1:4" ht="15.75" customHeight="1" x14ac:dyDescent="0.3">
      <c r="A29" s="19">
        <v>28</v>
      </c>
      <c r="B29" s="19">
        <v>1</v>
      </c>
      <c r="C29" s="19">
        <v>82</v>
      </c>
      <c r="D29" s="19" t="s">
        <v>490</v>
      </c>
    </row>
    <row r="30" spans="1:4" ht="15.75" customHeight="1" x14ac:dyDescent="0.3">
      <c r="A30" s="19">
        <v>29</v>
      </c>
      <c r="B30" s="19">
        <v>1</v>
      </c>
      <c r="C30" s="19">
        <v>77</v>
      </c>
      <c r="D30" s="19" t="s">
        <v>491</v>
      </c>
    </row>
    <row r="31" spans="1:4" ht="15.75" customHeight="1" x14ac:dyDescent="0.3">
      <c r="A31" s="19">
        <v>30</v>
      </c>
      <c r="B31" s="19">
        <v>0</v>
      </c>
      <c r="C31" s="19">
        <v>78</v>
      </c>
      <c r="D31" s="19" t="s">
        <v>492</v>
      </c>
    </row>
    <row r="32" spans="1:4" ht="15.75" customHeight="1" x14ac:dyDescent="0.3">
      <c r="A32" s="19">
        <v>31</v>
      </c>
      <c r="B32" s="19">
        <v>1</v>
      </c>
      <c r="C32" s="19">
        <v>97</v>
      </c>
      <c r="D32" s="19" t="s">
        <v>493</v>
      </c>
    </row>
    <row r="33" spans="1:4" ht="15.75" customHeight="1" x14ac:dyDescent="0.3">
      <c r="A33" s="19">
        <v>32</v>
      </c>
      <c r="B33" s="19">
        <v>0</v>
      </c>
      <c r="C33" s="19">
        <v>92</v>
      </c>
      <c r="D33" s="19" t="s">
        <v>494</v>
      </c>
    </row>
    <row r="34" spans="1:4" ht="15.75" customHeight="1" x14ac:dyDescent="0.3">
      <c r="A34" s="19">
        <v>33</v>
      </c>
      <c r="B34" s="19">
        <v>0</v>
      </c>
      <c r="C34" s="19">
        <v>96</v>
      </c>
      <c r="D34" s="19" t="s">
        <v>495</v>
      </c>
    </row>
    <row r="35" spans="1:4" ht="15.75" customHeight="1" x14ac:dyDescent="0.3">
      <c r="A35" s="19">
        <v>34</v>
      </c>
      <c r="B35" s="19">
        <v>0</v>
      </c>
      <c r="C35" s="19">
        <v>78</v>
      </c>
      <c r="D35" s="19" t="s">
        <v>496</v>
      </c>
    </row>
    <row r="36" spans="1:4" ht="15.75" customHeight="1" x14ac:dyDescent="0.3">
      <c r="A36" s="19">
        <v>35</v>
      </c>
      <c r="B36" s="19">
        <v>0</v>
      </c>
      <c r="C36" s="19">
        <v>90</v>
      </c>
      <c r="D36" s="19" t="s">
        <v>497</v>
      </c>
    </row>
    <row r="37" spans="1:4" ht="15.75" customHeight="1" x14ac:dyDescent="0.3">
      <c r="A37" s="19">
        <v>36</v>
      </c>
      <c r="B37" s="19">
        <v>0</v>
      </c>
      <c r="C37" s="19">
        <v>82</v>
      </c>
      <c r="D37" s="19" t="s">
        <v>498</v>
      </c>
    </row>
    <row r="38" spans="1:4" ht="15.75" customHeight="1" x14ac:dyDescent="0.3">
      <c r="A38" s="19">
        <v>37</v>
      </c>
      <c r="B38" s="19">
        <v>1</v>
      </c>
      <c r="C38" s="19">
        <v>96</v>
      </c>
      <c r="D38" s="19" t="s">
        <v>499</v>
      </c>
    </row>
    <row r="39" spans="1:4" ht="15.75" customHeight="1" x14ac:dyDescent="0.3">
      <c r="A39" s="19">
        <v>38</v>
      </c>
      <c r="B39" s="19">
        <v>0</v>
      </c>
      <c r="C39" s="19">
        <v>87</v>
      </c>
      <c r="D39" s="19" t="s">
        <v>500</v>
      </c>
    </row>
    <row r="40" spans="1:4" ht="15.75" customHeight="1" x14ac:dyDescent="0.3">
      <c r="A40" s="19">
        <v>39</v>
      </c>
      <c r="B40" s="19">
        <v>1</v>
      </c>
      <c r="C40" s="19">
        <v>98</v>
      </c>
      <c r="D40" s="19" t="s">
        <v>501</v>
      </c>
    </row>
    <row r="41" spans="1:4" ht="15.75" customHeight="1" x14ac:dyDescent="0.3">
      <c r="A41" s="19">
        <v>40</v>
      </c>
      <c r="B41" s="19">
        <v>1</v>
      </c>
      <c r="C41" s="19">
        <v>92</v>
      </c>
      <c r="D41" s="19" t="s">
        <v>502</v>
      </c>
    </row>
    <row r="42" spans="1:4" ht="15.75" customHeight="1" x14ac:dyDescent="0.3">
      <c r="A42" s="19">
        <v>41</v>
      </c>
      <c r="B42" s="19">
        <v>1</v>
      </c>
      <c r="C42" s="19">
        <v>87</v>
      </c>
      <c r="D42" s="19" t="s">
        <v>503</v>
      </c>
    </row>
    <row r="43" spans="1:4" ht="15.75" customHeight="1" x14ac:dyDescent="0.3">
      <c r="A43" s="19">
        <v>42</v>
      </c>
      <c r="B43" s="19">
        <v>0</v>
      </c>
      <c r="C43" s="19">
        <v>71</v>
      </c>
      <c r="D43" s="19" t="s">
        <v>504</v>
      </c>
    </row>
    <row r="44" spans="1:4" ht="15.75" customHeight="1" x14ac:dyDescent="0.3">
      <c r="A44" s="19">
        <v>43</v>
      </c>
      <c r="B44" s="19">
        <v>0</v>
      </c>
      <c r="C44" s="19">
        <v>90</v>
      </c>
      <c r="D44" s="19" t="s">
        <v>505</v>
      </c>
    </row>
    <row r="45" spans="1:4" ht="15.75" customHeight="1" x14ac:dyDescent="0.3">
      <c r="A45" s="19">
        <v>44</v>
      </c>
      <c r="B45" s="19">
        <v>0</v>
      </c>
      <c r="C45" s="19">
        <v>82</v>
      </c>
      <c r="D45" s="19" t="s">
        <v>506</v>
      </c>
    </row>
    <row r="46" spans="1:4" ht="15.75" customHeight="1" x14ac:dyDescent="0.3">
      <c r="A46" s="19">
        <v>45</v>
      </c>
      <c r="B46" s="19">
        <v>1</v>
      </c>
      <c r="C46" s="19">
        <v>72</v>
      </c>
      <c r="D46" s="19" t="s">
        <v>507</v>
      </c>
    </row>
    <row r="47" spans="1:4" ht="15.75" customHeight="1" x14ac:dyDescent="0.3">
      <c r="A47" s="19">
        <v>46</v>
      </c>
      <c r="B47" s="19">
        <v>0</v>
      </c>
      <c r="C47" s="19">
        <v>82</v>
      </c>
      <c r="D47" s="19" t="s">
        <v>508</v>
      </c>
    </row>
    <row r="48" spans="1:4" ht="15.75" customHeight="1" x14ac:dyDescent="0.3">
      <c r="A48" s="19">
        <v>47</v>
      </c>
      <c r="B48" s="19">
        <v>1</v>
      </c>
      <c r="C48" s="19">
        <v>97</v>
      </c>
      <c r="D48" s="19" t="s">
        <v>509</v>
      </c>
    </row>
    <row r="49" spans="1:4" ht="15.75" customHeight="1" x14ac:dyDescent="0.3">
      <c r="A49" s="19">
        <v>48</v>
      </c>
      <c r="B49" s="19">
        <v>0</v>
      </c>
      <c r="C49" s="19">
        <v>66</v>
      </c>
      <c r="D49" s="19" t="s">
        <v>510</v>
      </c>
    </row>
    <row r="50" spans="1:4" ht="15.75" customHeight="1" x14ac:dyDescent="0.3">
      <c r="A50" s="19">
        <v>49</v>
      </c>
      <c r="B50" s="19">
        <v>1</v>
      </c>
      <c r="C50" s="19">
        <v>97</v>
      </c>
      <c r="D50" s="19" t="s">
        <v>511</v>
      </c>
    </row>
    <row r="51" spans="1:4" ht="15.75" customHeight="1" x14ac:dyDescent="0.3">
      <c r="A51" s="19">
        <v>50</v>
      </c>
      <c r="B51" s="19">
        <v>1</v>
      </c>
      <c r="C51" s="19">
        <v>74</v>
      </c>
      <c r="D51" s="19" t="s">
        <v>512</v>
      </c>
    </row>
    <row r="52" spans="1:4" ht="15.75" customHeight="1" x14ac:dyDescent="0.3">
      <c r="A52" s="19">
        <v>51</v>
      </c>
      <c r="B52" s="19">
        <v>1</v>
      </c>
      <c r="C52" s="19">
        <v>93</v>
      </c>
      <c r="D52" s="19" t="s">
        <v>513</v>
      </c>
    </row>
    <row r="53" spans="1:4" ht="15.75" customHeight="1" x14ac:dyDescent="0.3">
      <c r="A53" s="19">
        <v>52</v>
      </c>
      <c r="B53" s="19">
        <v>0</v>
      </c>
      <c r="C53" s="19">
        <v>90</v>
      </c>
      <c r="D53" s="19" t="s">
        <v>514</v>
      </c>
    </row>
    <row r="54" spans="1:4" ht="15.75" customHeight="1" x14ac:dyDescent="0.3">
      <c r="A54" s="19">
        <v>53</v>
      </c>
      <c r="B54" s="19">
        <v>0</v>
      </c>
      <c r="C54" s="19">
        <v>92</v>
      </c>
      <c r="D54" s="19" t="s">
        <v>515</v>
      </c>
    </row>
    <row r="55" spans="1:4" ht="15.75" customHeight="1" x14ac:dyDescent="0.3">
      <c r="A55" s="19">
        <v>54</v>
      </c>
      <c r="B55" s="19">
        <v>0</v>
      </c>
      <c r="C55" s="19">
        <v>72</v>
      </c>
      <c r="D55" s="19" t="s">
        <v>516</v>
      </c>
    </row>
    <row r="56" spans="1:4" ht="15.75" customHeight="1" x14ac:dyDescent="0.3">
      <c r="A56" s="19">
        <v>55</v>
      </c>
      <c r="B56" s="19">
        <v>1</v>
      </c>
      <c r="C56" s="19">
        <v>99</v>
      </c>
      <c r="D56" s="19" t="s">
        <v>517</v>
      </c>
    </row>
    <row r="57" spans="1:4" ht="15.75" customHeight="1" x14ac:dyDescent="0.3">
      <c r="A57" s="19">
        <v>56</v>
      </c>
      <c r="B57" s="19">
        <v>0</v>
      </c>
      <c r="C57" s="19">
        <v>96</v>
      </c>
      <c r="D57" s="19" t="s">
        <v>518</v>
      </c>
    </row>
    <row r="58" spans="1:4" ht="15.75" customHeight="1" x14ac:dyDescent="0.3">
      <c r="A58" s="19">
        <v>57</v>
      </c>
      <c r="B58" s="19">
        <v>1</v>
      </c>
      <c r="C58" s="19">
        <v>94</v>
      </c>
      <c r="D58" s="19" t="s">
        <v>519</v>
      </c>
    </row>
    <row r="59" spans="1:4" ht="15.75" customHeight="1" x14ac:dyDescent="0.3">
      <c r="A59" s="19">
        <v>58</v>
      </c>
      <c r="B59" s="19">
        <v>1</v>
      </c>
      <c r="C59" s="19">
        <v>98</v>
      </c>
      <c r="D59" s="19" t="s">
        <v>520</v>
      </c>
    </row>
    <row r="60" spans="1:4" ht="15.75" customHeight="1" x14ac:dyDescent="0.3">
      <c r="A60" s="19">
        <v>59</v>
      </c>
      <c r="B60" s="19">
        <v>1</v>
      </c>
      <c r="C60" s="19">
        <v>77</v>
      </c>
      <c r="D60" s="19" t="s">
        <v>521</v>
      </c>
    </row>
    <row r="61" spans="1:4" ht="15.75" customHeight="1" x14ac:dyDescent="0.3">
      <c r="A61" s="19">
        <v>60</v>
      </c>
      <c r="B61" s="19">
        <v>1</v>
      </c>
      <c r="C61" s="19">
        <v>88</v>
      </c>
      <c r="D61" s="19" t="s">
        <v>522</v>
      </c>
    </row>
    <row r="62" spans="1:4" ht="15.75" customHeight="1" x14ac:dyDescent="0.3">
      <c r="A62" s="19">
        <v>61</v>
      </c>
      <c r="B62" s="19">
        <v>1</v>
      </c>
      <c r="C62" s="19">
        <v>83</v>
      </c>
      <c r="D62" s="19" t="s">
        <v>523</v>
      </c>
    </row>
    <row r="63" spans="1:4" ht="15.75" customHeight="1" x14ac:dyDescent="0.3">
      <c r="A63" s="19">
        <v>62</v>
      </c>
      <c r="B63" s="19">
        <v>0</v>
      </c>
      <c r="C63" s="19">
        <v>82</v>
      </c>
      <c r="D63" s="19" t="s">
        <v>524</v>
      </c>
    </row>
    <row r="64" spans="1:4" ht="15.75" customHeight="1" x14ac:dyDescent="0.3">
      <c r="A64" s="19">
        <v>63</v>
      </c>
      <c r="B64" s="19">
        <v>1</v>
      </c>
      <c r="C64" s="19">
        <v>74</v>
      </c>
      <c r="D64" s="19" t="s">
        <v>525</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workbookViewId="0"/>
  </sheetViews>
  <sheetFormatPr defaultColWidth="14.44140625" defaultRowHeight="15" customHeight="1" x14ac:dyDescent="0.3"/>
  <cols>
    <col min="1" max="26" width="8.6640625" customWidth="1"/>
  </cols>
  <sheetData>
    <row r="1" spans="1:4" ht="14.4" x14ac:dyDescent="0.3">
      <c r="A1" s="18" t="s">
        <v>0</v>
      </c>
      <c r="B1" s="18" t="s">
        <v>19</v>
      </c>
      <c r="C1" s="18" t="s">
        <v>20</v>
      </c>
      <c r="D1" s="18" t="s">
        <v>21</v>
      </c>
    </row>
    <row r="2" spans="1:4" ht="14.4" x14ac:dyDescent="0.3">
      <c r="A2" s="19">
        <v>1</v>
      </c>
      <c r="B2" s="19">
        <v>1</v>
      </c>
      <c r="C2" s="19">
        <v>93</v>
      </c>
      <c r="D2" s="19" t="s">
        <v>526</v>
      </c>
    </row>
    <row r="3" spans="1:4" ht="14.4" x14ac:dyDescent="0.3">
      <c r="A3" s="19">
        <v>2</v>
      </c>
      <c r="B3" s="19">
        <v>0</v>
      </c>
      <c r="C3" s="19">
        <v>78</v>
      </c>
      <c r="D3" s="19" t="s">
        <v>527</v>
      </c>
    </row>
    <row r="4" spans="1:4" ht="14.4" x14ac:dyDescent="0.3">
      <c r="A4" s="19">
        <v>3</v>
      </c>
      <c r="B4" s="19">
        <v>1</v>
      </c>
      <c r="C4" s="19">
        <v>99</v>
      </c>
      <c r="D4" s="19" t="s">
        <v>528</v>
      </c>
    </row>
    <row r="5" spans="1:4" ht="14.4" x14ac:dyDescent="0.3">
      <c r="A5" s="19">
        <v>4</v>
      </c>
      <c r="B5" s="19">
        <v>0</v>
      </c>
      <c r="C5" s="19">
        <v>84</v>
      </c>
      <c r="D5" s="19" t="s">
        <v>529</v>
      </c>
    </row>
    <row r="6" spans="1:4" ht="14.4" x14ac:dyDescent="0.3">
      <c r="A6" s="19">
        <v>5</v>
      </c>
      <c r="B6" s="19">
        <v>1</v>
      </c>
      <c r="C6" s="19">
        <v>97</v>
      </c>
      <c r="D6" s="19" t="s">
        <v>530</v>
      </c>
    </row>
    <row r="7" spans="1:4" ht="14.4" x14ac:dyDescent="0.3">
      <c r="A7" s="19">
        <v>6</v>
      </c>
      <c r="B7" s="19">
        <v>1</v>
      </c>
      <c r="C7" s="19">
        <v>96</v>
      </c>
      <c r="D7" s="19" t="s">
        <v>531</v>
      </c>
    </row>
    <row r="8" spans="1:4" ht="14.4" x14ac:dyDescent="0.3">
      <c r="A8" s="19">
        <v>7</v>
      </c>
      <c r="B8" s="19">
        <v>0</v>
      </c>
      <c r="C8" s="19">
        <v>86</v>
      </c>
      <c r="D8" s="19" t="s">
        <v>532</v>
      </c>
    </row>
    <row r="9" spans="1:4" ht="14.4" x14ac:dyDescent="0.3">
      <c r="A9" s="19">
        <v>8</v>
      </c>
      <c r="B9" s="19">
        <v>0</v>
      </c>
      <c r="C9" s="19">
        <v>72</v>
      </c>
      <c r="D9" s="19" t="s">
        <v>533</v>
      </c>
    </row>
    <row r="10" spans="1:4" ht="14.4" x14ac:dyDescent="0.3">
      <c r="A10" s="19">
        <v>9</v>
      </c>
      <c r="B10" s="19">
        <v>1</v>
      </c>
      <c r="C10" s="19">
        <v>93</v>
      </c>
      <c r="D10" s="19" t="s">
        <v>534</v>
      </c>
    </row>
    <row r="11" spans="1:4" ht="14.4" x14ac:dyDescent="0.3">
      <c r="A11" s="19">
        <v>10</v>
      </c>
      <c r="B11" s="19">
        <v>1</v>
      </c>
      <c r="C11" s="19">
        <v>77</v>
      </c>
      <c r="D11" s="19" t="s">
        <v>535</v>
      </c>
    </row>
    <row r="12" spans="1:4" ht="14.4" x14ac:dyDescent="0.3">
      <c r="A12" s="19">
        <v>11</v>
      </c>
      <c r="B12" s="19">
        <v>0</v>
      </c>
      <c r="C12" s="19">
        <v>68</v>
      </c>
      <c r="D12" s="19" t="s">
        <v>536</v>
      </c>
    </row>
    <row r="13" spans="1:4" ht="14.4" x14ac:dyDescent="0.3">
      <c r="A13" s="19">
        <v>12</v>
      </c>
      <c r="B13" s="19">
        <v>0</v>
      </c>
      <c r="C13" s="19">
        <v>84</v>
      </c>
      <c r="D13" s="19" t="s">
        <v>537</v>
      </c>
    </row>
    <row r="14" spans="1:4" ht="14.4" x14ac:dyDescent="0.3">
      <c r="A14" s="19">
        <v>13</v>
      </c>
      <c r="B14" s="19">
        <v>1</v>
      </c>
      <c r="C14" s="19">
        <v>97</v>
      </c>
      <c r="D14" s="19" t="s">
        <v>538</v>
      </c>
    </row>
    <row r="15" spans="1:4" ht="14.4" x14ac:dyDescent="0.3">
      <c r="A15" s="19">
        <v>14</v>
      </c>
      <c r="B15" s="19">
        <v>0</v>
      </c>
      <c r="C15" s="19">
        <v>62</v>
      </c>
      <c r="D15" s="19" t="s">
        <v>539</v>
      </c>
    </row>
    <row r="16" spans="1:4" ht="14.4" x14ac:dyDescent="0.3">
      <c r="A16" s="19">
        <v>15</v>
      </c>
      <c r="B16" s="19">
        <v>0</v>
      </c>
      <c r="C16" s="19">
        <v>78</v>
      </c>
      <c r="D16" s="19" t="s">
        <v>540</v>
      </c>
    </row>
    <row r="17" spans="1:4" ht="14.4" x14ac:dyDescent="0.3">
      <c r="A17" s="19">
        <v>16</v>
      </c>
      <c r="B17" s="19">
        <v>1</v>
      </c>
      <c r="C17" s="19">
        <v>84</v>
      </c>
      <c r="D17" s="19" t="s">
        <v>541</v>
      </c>
    </row>
    <row r="18" spans="1:4" ht="14.4" x14ac:dyDescent="0.3">
      <c r="A18" s="19">
        <v>17</v>
      </c>
      <c r="B18" s="19">
        <v>0</v>
      </c>
      <c r="C18" s="19">
        <v>88</v>
      </c>
      <c r="D18" s="19" t="s">
        <v>542</v>
      </c>
    </row>
    <row r="19" spans="1:4" ht="14.4" x14ac:dyDescent="0.3">
      <c r="A19" s="19">
        <v>18</v>
      </c>
      <c r="B19" s="19">
        <v>1</v>
      </c>
      <c r="C19" s="19">
        <v>87</v>
      </c>
      <c r="D19" s="19" t="s">
        <v>543</v>
      </c>
    </row>
    <row r="20" spans="1:4" ht="14.4" x14ac:dyDescent="0.3">
      <c r="A20" s="19">
        <v>19</v>
      </c>
      <c r="B20" s="19">
        <v>1</v>
      </c>
      <c r="C20" s="19">
        <v>97</v>
      </c>
      <c r="D20" s="19" t="s">
        <v>544</v>
      </c>
    </row>
    <row r="21" spans="1:4" ht="15.75" customHeight="1" x14ac:dyDescent="0.3">
      <c r="A21" s="19">
        <v>20</v>
      </c>
      <c r="B21" s="19">
        <v>1</v>
      </c>
      <c r="C21" s="19">
        <v>88</v>
      </c>
      <c r="D21" s="19" t="s">
        <v>545</v>
      </c>
    </row>
    <row r="22" spans="1:4" ht="15.75" customHeight="1" x14ac:dyDescent="0.3">
      <c r="A22" s="19">
        <v>21</v>
      </c>
      <c r="B22" s="19">
        <v>1</v>
      </c>
      <c r="C22" s="19">
        <v>78</v>
      </c>
      <c r="D22" s="19" t="s">
        <v>546</v>
      </c>
    </row>
    <row r="23" spans="1:4" ht="15.75" customHeight="1" x14ac:dyDescent="0.3">
      <c r="A23" s="19">
        <v>22</v>
      </c>
      <c r="B23" s="19">
        <v>1</v>
      </c>
      <c r="C23" s="19">
        <v>82</v>
      </c>
      <c r="D23" s="19" t="s">
        <v>547</v>
      </c>
    </row>
    <row r="24" spans="1:4" ht="15.75" customHeight="1" x14ac:dyDescent="0.3">
      <c r="A24" s="19">
        <v>23</v>
      </c>
      <c r="B24" s="19">
        <v>1</v>
      </c>
      <c r="C24" s="19">
        <v>83</v>
      </c>
      <c r="D24" s="19" t="s">
        <v>548</v>
      </c>
    </row>
    <row r="25" spans="1:4" ht="15.75" customHeight="1" x14ac:dyDescent="0.3">
      <c r="A25" s="19">
        <v>24</v>
      </c>
      <c r="B25" s="19">
        <v>1</v>
      </c>
      <c r="C25" s="19">
        <v>83</v>
      </c>
      <c r="D25" s="19" t="s">
        <v>549</v>
      </c>
    </row>
    <row r="26" spans="1:4" ht="15.75" customHeight="1" x14ac:dyDescent="0.3">
      <c r="A26" s="19">
        <v>25</v>
      </c>
      <c r="B26" s="19">
        <v>1</v>
      </c>
      <c r="C26" s="19">
        <v>98</v>
      </c>
      <c r="D26" s="19" t="s">
        <v>550</v>
      </c>
    </row>
    <row r="27" spans="1:4" ht="15.75" customHeight="1" x14ac:dyDescent="0.3">
      <c r="A27" s="19">
        <v>26</v>
      </c>
      <c r="B27" s="19">
        <v>1</v>
      </c>
      <c r="C27" s="19">
        <v>96</v>
      </c>
      <c r="D27" s="19" t="s">
        <v>551</v>
      </c>
    </row>
    <row r="28" spans="1:4" ht="15.75" customHeight="1" x14ac:dyDescent="0.3">
      <c r="A28" s="19">
        <v>27</v>
      </c>
      <c r="B28" s="19">
        <v>1</v>
      </c>
      <c r="C28" s="19">
        <v>94</v>
      </c>
      <c r="D28" s="19" t="s">
        <v>552</v>
      </c>
    </row>
    <row r="29" spans="1:4" ht="15.75" customHeight="1" x14ac:dyDescent="0.3">
      <c r="A29" s="19">
        <v>28</v>
      </c>
      <c r="B29" s="19">
        <v>1</v>
      </c>
      <c r="C29" s="19">
        <v>87</v>
      </c>
      <c r="D29" s="19" t="s">
        <v>553</v>
      </c>
    </row>
    <row r="30" spans="1:4" ht="15.75" customHeight="1" x14ac:dyDescent="0.3">
      <c r="A30" s="19">
        <v>29</v>
      </c>
      <c r="B30" s="19">
        <v>1</v>
      </c>
      <c r="C30" s="19">
        <v>74</v>
      </c>
      <c r="D30" s="19" t="s">
        <v>554</v>
      </c>
    </row>
    <row r="31" spans="1:4" ht="15.75" customHeight="1" x14ac:dyDescent="0.3">
      <c r="A31" s="19">
        <v>30</v>
      </c>
      <c r="B31" s="19">
        <v>0</v>
      </c>
      <c r="C31" s="19">
        <v>78</v>
      </c>
      <c r="D31" s="19" t="s">
        <v>555</v>
      </c>
    </row>
    <row r="32" spans="1:4" ht="15.75" customHeight="1" x14ac:dyDescent="0.3">
      <c r="A32" s="19">
        <v>31</v>
      </c>
      <c r="B32" s="19">
        <v>1</v>
      </c>
      <c r="C32" s="19">
        <v>97</v>
      </c>
      <c r="D32" s="19" t="s">
        <v>556</v>
      </c>
    </row>
    <row r="33" spans="1:4" ht="15.75" customHeight="1" x14ac:dyDescent="0.3">
      <c r="A33" s="19">
        <v>32</v>
      </c>
      <c r="B33" s="19">
        <v>0</v>
      </c>
      <c r="C33" s="19">
        <v>92</v>
      </c>
      <c r="D33" s="19" t="s">
        <v>557</v>
      </c>
    </row>
    <row r="34" spans="1:4" ht="15.75" customHeight="1" x14ac:dyDescent="0.3">
      <c r="A34" s="19">
        <v>33</v>
      </c>
      <c r="B34" s="19">
        <v>0</v>
      </c>
      <c r="C34" s="19">
        <v>92</v>
      </c>
      <c r="D34" s="19" t="s">
        <v>558</v>
      </c>
    </row>
    <row r="35" spans="1:4" ht="15.75" customHeight="1" x14ac:dyDescent="0.3">
      <c r="A35" s="19">
        <v>34</v>
      </c>
      <c r="B35" s="19">
        <v>0</v>
      </c>
      <c r="C35" s="19">
        <v>71</v>
      </c>
      <c r="D35" s="19" t="s">
        <v>559</v>
      </c>
    </row>
    <row r="36" spans="1:4" ht="15.75" customHeight="1" x14ac:dyDescent="0.3">
      <c r="A36" s="19">
        <v>35</v>
      </c>
      <c r="B36" s="19">
        <v>0</v>
      </c>
      <c r="C36" s="19">
        <v>86</v>
      </c>
      <c r="D36" s="19" t="s">
        <v>560</v>
      </c>
    </row>
    <row r="37" spans="1:4" ht="15.75" customHeight="1" x14ac:dyDescent="0.3">
      <c r="A37" s="19">
        <v>36</v>
      </c>
      <c r="B37" s="19">
        <v>0</v>
      </c>
      <c r="C37" s="19">
        <v>84</v>
      </c>
      <c r="D37" s="19" t="s">
        <v>561</v>
      </c>
    </row>
    <row r="38" spans="1:4" ht="15.75" customHeight="1" x14ac:dyDescent="0.3">
      <c r="A38" s="19">
        <v>37</v>
      </c>
      <c r="B38" s="19">
        <v>1</v>
      </c>
      <c r="C38" s="19">
        <v>96</v>
      </c>
      <c r="D38" s="19" t="s">
        <v>562</v>
      </c>
    </row>
    <row r="39" spans="1:4" ht="15.75" customHeight="1" x14ac:dyDescent="0.3">
      <c r="A39" s="19">
        <v>38</v>
      </c>
      <c r="B39" s="19">
        <v>0</v>
      </c>
      <c r="C39" s="19">
        <v>88</v>
      </c>
      <c r="D39" s="19" t="s">
        <v>563</v>
      </c>
    </row>
    <row r="40" spans="1:4" ht="15.75" customHeight="1" x14ac:dyDescent="0.3">
      <c r="A40" s="19">
        <v>39</v>
      </c>
      <c r="B40" s="19">
        <v>1</v>
      </c>
      <c r="C40" s="19">
        <v>99</v>
      </c>
      <c r="D40" s="19" t="s">
        <v>564</v>
      </c>
    </row>
    <row r="41" spans="1:4" ht="15.75" customHeight="1" x14ac:dyDescent="0.3">
      <c r="A41" s="19">
        <v>40</v>
      </c>
      <c r="B41" s="19">
        <v>1</v>
      </c>
      <c r="C41" s="19">
        <v>91</v>
      </c>
      <c r="D41" s="19" t="s">
        <v>565</v>
      </c>
    </row>
    <row r="42" spans="1:4" ht="15.75" customHeight="1" x14ac:dyDescent="0.3">
      <c r="A42" s="19">
        <v>41</v>
      </c>
      <c r="B42" s="19">
        <v>1</v>
      </c>
      <c r="C42" s="19">
        <v>88</v>
      </c>
      <c r="D42" s="19" t="s">
        <v>566</v>
      </c>
    </row>
    <row r="43" spans="1:4" ht="15.75" customHeight="1" x14ac:dyDescent="0.3">
      <c r="A43" s="19">
        <v>42</v>
      </c>
      <c r="B43" s="19">
        <v>0</v>
      </c>
      <c r="C43" s="19">
        <v>72</v>
      </c>
      <c r="D43" s="19" t="s">
        <v>567</v>
      </c>
    </row>
    <row r="44" spans="1:4" ht="15.75" customHeight="1" x14ac:dyDescent="0.3">
      <c r="A44" s="19">
        <v>43</v>
      </c>
      <c r="B44" s="19">
        <v>0</v>
      </c>
      <c r="C44" s="19">
        <v>86</v>
      </c>
      <c r="D44" s="19" t="s">
        <v>568</v>
      </c>
    </row>
    <row r="45" spans="1:4" ht="15.75" customHeight="1" x14ac:dyDescent="0.3">
      <c r="A45" s="19">
        <v>44</v>
      </c>
      <c r="B45" s="19">
        <v>0</v>
      </c>
      <c r="C45" s="19">
        <v>84</v>
      </c>
      <c r="D45" s="19" t="s">
        <v>569</v>
      </c>
    </row>
    <row r="46" spans="1:4" ht="15.75" customHeight="1" x14ac:dyDescent="0.3">
      <c r="A46" s="19">
        <v>45</v>
      </c>
      <c r="B46" s="19">
        <v>0</v>
      </c>
      <c r="C46" s="19">
        <v>72</v>
      </c>
      <c r="D46" s="19" t="s">
        <v>570</v>
      </c>
    </row>
    <row r="47" spans="1:4" ht="15.75" customHeight="1" x14ac:dyDescent="0.3">
      <c r="A47" s="19">
        <v>46</v>
      </c>
      <c r="B47" s="19">
        <v>0</v>
      </c>
      <c r="C47" s="19">
        <v>86</v>
      </c>
      <c r="D47" s="19" t="s">
        <v>571</v>
      </c>
    </row>
    <row r="48" spans="1:4" ht="15.75" customHeight="1" x14ac:dyDescent="0.3">
      <c r="A48" s="19">
        <v>47</v>
      </c>
      <c r="B48" s="19">
        <v>1</v>
      </c>
      <c r="C48" s="19">
        <v>97</v>
      </c>
      <c r="D48" s="19" t="s">
        <v>572</v>
      </c>
    </row>
    <row r="49" spans="1:4" ht="15.75" customHeight="1" x14ac:dyDescent="0.3">
      <c r="A49" s="19">
        <v>48</v>
      </c>
      <c r="B49" s="19">
        <v>0</v>
      </c>
      <c r="C49" s="19">
        <v>78</v>
      </c>
      <c r="D49" s="19" t="s">
        <v>573</v>
      </c>
    </row>
    <row r="50" spans="1:4" ht="15.75" customHeight="1" x14ac:dyDescent="0.3">
      <c r="A50" s="19">
        <v>49</v>
      </c>
      <c r="B50" s="19">
        <v>1</v>
      </c>
      <c r="C50" s="19">
        <v>98</v>
      </c>
      <c r="D50" s="19" t="s">
        <v>574</v>
      </c>
    </row>
    <row r="51" spans="1:4" ht="15.75" customHeight="1" x14ac:dyDescent="0.3">
      <c r="A51" s="19">
        <v>50</v>
      </c>
      <c r="B51" s="19">
        <v>1</v>
      </c>
      <c r="C51" s="19">
        <v>78</v>
      </c>
      <c r="D51" s="19" t="s">
        <v>575</v>
      </c>
    </row>
    <row r="52" spans="1:4" ht="15.75" customHeight="1" x14ac:dyDescent="0.3">
      <c r="A52" s="19">
        <v>51</v>
      </c>
      <c r="B52" s="19">
        <v>1</v>
      </c>
      <c r="C52" s="19">
        <v>93</v>
      </c>
      <c r="D52" s="19" t="s">
        <v>576</v>
      </c>
    </row>
    <row r="53" spans="1:4" ht="15.75" customHeight="1" x14ac:dyDescent="0.3">
      <c r="A53" s="19">
        <v>52</v>
      </c>
      <c r="B53" s="19">
        <v>0</v>
      </c>
      <c r="C53" s="19">
        <v>92</v>
      </c>
      <c r="D53" s="19" t="s">
        <v>577</v>
      </c>
    </row>
    <row r="54" spans="1:4" ht="15.75" customHeight="1" x14ac:dyDescent="0.3">
      <c r="A54" s="19">
        <v>53</v>
      </c>
      <c r="B54" s="19">
        <v>0</v>
      </c>
      <c r="C54" s="19">
        <v>90</v>
      </c>
      <c r="D54" s="19" t="s">
        <v>578</v>
      </c>
    </row>
    <row r="55" spans="1:4" ht="15.75" customHeight="1" x14ac:dyDescent="0.3">
      <c r="A55" s="19">
        <v>54</v>
      </c>
      <c r="B55" s="19">
        <v>0</v>
      </c>
      <c r="C55" s="19">
        <v>78</v>
      </c>
      <c r="D55" s="19" t="s">
        <v>579</v>
      </c>
    </row>
    <row r="56" spans="1:4" ht="15.75" customHeight="1" x14ac:dyDescent="0.3">
      <c r="A56" s="19">
        <v>55</v>
      </c>
      <c r="B56" s="19">
        <v>1</v>
      </c>
      <c r="C56" s="19">
        <v>99</v>
      </c>
      <c r="D56" s="19" t="s">
        <v>580</v>
      </c>
    </row>
    <row r="57" spans="1:4" ht="15.75" customHeight="1" x14ac:dyDescent="0.3">
      <c r="A57" s="19">
        <v>56</v>
      </c>
      <c r="B57" s="19">
        <v>0</v>
      </c>
      <c r="C57" s="19">
        <v>93</v>
      </c>
      <c r="D57" s="19" t="s">
        <v>581</v>
      </c>
    </row>
    <row r="58" spans="1:4" ht="15.75" customHeight="1" x14ac:dyDescent="0.3">
      <c r="A58" s="19">
        <v>57</v>
      </c>
      <c r="B58" s="19">
        <v>1</v>
      </c>
      <c r="C58" s="19">
        <v>92</v>
      </c>
      <c r="D58" s="19" t="s">
        <v>582</v>
      </c>
    </row>
    <row r="59" spans="1:4" ht="15.75" customHeight="1" x14ac:dyDescent="0.3">
      <c r="A59" s="19">
        <v>58</v>
      </c>
      <c r="B59" s="19">
        <v>1</v>
      </c>
      <c r="C59" s="19">
        <v>99</v>
      </c>
      <c r="D59" s="19" t="s">
        <v>583</v>
      </c>
    </row>
    <row r="60" spans="1:4" ht="15.75" customHeight="1" x14ac:dyDescent="0.3">
      <c r="A60" s="19">
        <v>59</v>
      </c>
      <c r="B60" s="19">
        <v>1</v>
      </c>
      <c r="C60" s="19">
        <v>78</v>
      </c>
      <c r="D60" s="19" t="s">
        <v>584</v>
      </c>
    </row>
    <row r="61" spans="1:4" ht="15.75" customHeight="1" x14ac:dyDescent="0.3">
      <c r="A61" s="19">
        <v>60</v>
      </c>
      <c r="B61" s="19">
        <v>1</v>
      </c>
      <c r="C61" s="19">
        <v>88</v>
      </c>
      <c r="D61" s="19" t="s">
        <v>585</v>
      </c>
    </row>
    <row r="62" spans="1:4" ht="15.75" customHeight="1" x14ac:dyDescent="0.3">
      <c r="A62" s="19">
        <v>61</v>
      </c>
      <c r="B62" s="19">
        <v>1</v>
      </c>
      <c r="C62" s="19">
        <v>82</v>
      </c>
      <c r="D62" s="19" t="s">
        <v>586</v>
      </c>
    </row>
    <row r="63" spans="1:4" ht="15.75" customHeight="1" x14ac:dyDescent="0.3">
      <c r="A63" s="19">
        <v>62</v>
      </c>
      <c r="B63" s="19">
        <v>0</v>
      </c>
      <c r="C63" s="19">
        <v>83</v>
      </c>
      <c r="D63" s="19" t="s">
        <v>587</v>
      </c>
    </row>
    <row r="64" spans="1:4" ht="15.75" customHeight="1" x14ac:dyDescent="0.3">
      <c r="A64" s="19">
        <v>63</v>
      </c>
      <c r="B64" s="19">
        <v>1</v>
      </c>
      <c r="C64" s="19">
        <v>72</v>
      </c>
      <c r="D64" s="19" t="s">
        <v>588</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19DF-7607-432A-824A-2AE5D306356C}">
  <dimension ref="A1:J14"/>
  <sheetViews>
    <sheetView workbookViewId="0">
      <selection activeCell="C8" sqref="C8"/>
    </sheetView>
  </sheetViews>
  <sheetFormatPr defaultRowHeight="14.4" x14ac:dyDescent="0.3"/>
  <sheetData>
    <row r="1" spans="1:10" ht="17.399999999999999" x14ac:dyDescent="0.3">
      <c r="A1" s="20" t="s">
        <v>11</v>
      </c>
      <c r="B1" s="21" t="s">
        <v>589</v>
      </c>
      <c r="J1" s="5"/>
    </row>
    <row r="2" spans="1:10" x14ac:dyDescent="0.3">
      <c r="A2" s="22"/>
    </row>
    <row r="3" spans="1:10" ht="17.399999999999999" x14ac:dyDescent="0.3">
      <c r="A3" s="20" t="s">
        <v>12</v>
      </c>
      <c r="B3" s="21" t="s">
        <v>590</v>
      </c>
      <c r="J3" s="5"/>
    </row>
    <row r="4" spans="1:10" x14ac:dyDescent="0.3">
      <c r="A4" s="22"/>
    </row>
    <row r="5" spans="1:10" ht="17.399999999999999" x14ac:dyDescent="0.3">
      <c r="A5" s="20" t="s">
        <v>591</v>
      </c>
      <c r="B5" s="21" t="s">
        <v>592</v>
      </c>
      <c r="J5" s="5"/>
    </row>
    <row r="6" spans="1:10" x14ac:dyDescent="0.3">
      <c r="A6" s="22"/>
    </row>
    <row r="8" spans="1:10" ht="23.4" x14ac:dyDescent="0.3">
      <c r="A8" s="23" t="s">
        <v>593</v>
      </c>
      <c r="B8" s="24" t="s">
        <v>594</v>
      </c>
    </row>
    <row r="9" spans="1:10" x14ac:dyDescent="0.3">
      <c r="A9" s="25"/>
    </row>
    <row r="10" spans="1:10" ht="409.6" x14ac:dyDescent="0.3">
      <c r="A10" s="25">
        <v>1</v>
      </c>
      <c r="B10" s="26" t="s">
        <v>595</v>
      </c>
    </row>
    <row r="11" spans="1:10" ht="409.6" x14ac:dyDescent="0.3">
      <c r="A11" s="25">
        <v>2</v>
      </c>
      <c r="B11" s="26" t="s">
        <v>596</v>
      </c>
    </row>
    <row r="12" spans="1:10" ht="409.6" x14ac:dyDescent="0.3">
      <c r="A12" s="25">
        <v>3</v>
      </c>
      <c r="B12" s="26" t="s">
        <v>597</v>
      </c>
    </row>
    <row r="13" spans="1:10" x14ac:dyDescent="0.3">
      <c r="A13" s="25">
        <v>4</v>
      </c>
      <c r="B13" s="2" t="s">
        <v>598</v>
      </c>
    </row>
    <row r="14" spans="1:10" x14ac:dyDescent="0.3">
      <c r="A14" s="25">
        <v>5</v>
      </c>
      <c r="B14" s="2" t="s">
        <v>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Actual</vt:lpstr>
      <vt:lpstr>Results</vt:lpstr>
      <vt:lpstr>prompt1</vt:lpstr>
      <vt:lpstr>prompt2</vt:lpstr>
      <vt:lpstr>prompt3</vt:lpstr>
      <vt:lpstr>prompt4</vt:lpstr>
      <vt:lpstr>prompt5</vt:lpstr>
      <vt:lpstr>classify1</vt:lpstr>
      <vt:lpstr>classify2</vt:lpstr>
      <vt:lpstr>classify3</vt:lpstr>
      <vt:lpstr>classify4</vt:lpstr>
      <vt:lpstr>classify5</vt:lpstr>
      <vt:lpstr>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Nikos Christakis</cp:lastModifiedBy>
  <dcterms:modified xsi:type="dcterms:W3CDTF">2026-03-30T11:58:15Z</dcterms:modified>
</cp:coreProperties>
</file>